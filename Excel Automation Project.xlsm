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shika\Documents\"/>
    </mc:Choice>
  </mc:AlternateContent>
  <xr:revisionPtr revIDLastSave="0" documentId="13_ncr:1_{C0197EC0-7F63-418A-8D98-556F8E21376F}" xr6:coauthVersionLast="43" xr6:coauthVersionMax="43" xr10:uidLastSave="{00000000-0000-0000-0000-000000000000}"/>
  <bookViews>
    <workbookView xWindow="-120" yWindow="-120" windowWidth="20730" windowHeight="11160" activeTab="2" xr2:uid="{CD334FB2-4636-4C96-9062-5F1A2E67E636}"/>
  </bookViews>
  <sheets>
    <sheet name="Sheet1" sheetId="1" r:id="rId1"/>
    <sheet name="Summary" sheetId="4" r:id="rId2"/>
    <sheet name="Report" sheetId="5" r:id="rId3"/>
    <sheet name="Sheet2" sheetId="2" r:id="rId4"/>
    <sheet name="Sheet3" sheetId="3" r:id="rId5"/>
  </sheets>
  <definedNames>
    <definedName name="sh">Sheet1!$A$1:$I$150</definedName>
    <definedName name="she">Sheet2!$A$1:$Q$150</definedName>
    <definedName name="shee">Sheet3!$A$1:$J$150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A6" i="4"/>
  <c r="A3" i="4"/>
  <c r="A4" i="4"/>
  <c r="A5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<sst xmlns="http://schemas.openxmlformats.org/spreadsheetml/2006/main" count="2605" uniqueCount="1021">
  <si>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</si>
  <si>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</si>
  <si>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</si>
  <si>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</si>
  <si>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</si>
  <si>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</si>
  <si>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</si>
  <si>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</si>
  <si>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</si>
  <si>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</si>
  <si>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</si>
  <si>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</si>
  <si>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</si>
  <si>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</si>
  <si>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</si>
  <si>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</si>
  <si>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</si>
  <si>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</si>
  <si>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</si>
  <si>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</si>
  <si>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</si>
  <si>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</si>
  <si>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</si>
  <si>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</si>
  <si>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</si>
  <si>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</si>
  <si>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</si>
  <si>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</si>
  <si>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</si>
  <si>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</si>
  <si>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</si>
  <si>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</si>
  <si>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</si>
  <si>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</si>
  <si>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</si>
  <si>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</si>
  <si>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</si>
  <si>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</si>
  <si>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</si>
  <si>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</si>
  <si>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</si>
  <si>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</si>
  <si>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</si>
  <si>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</si>
  <si>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</si>
  <si>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</si>
  <si>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</si>
  <si>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</si>
  <si>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</si>
  <si>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</si>
  <si>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</si>
  <si>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</si>
  <si>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</si>
  <si>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</si>
  <si>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</si>
  <si>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</si>
  <si>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</si>
  <si>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</si>
  <si>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</si>
  <si>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</si>
  <si>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</si>
  <si>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</si>
  <si>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</si>
  <si>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</si>
  <si>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</si>
  <si>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</si>
  <si>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</si>
  <si>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</si>
  <si>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</si>
  <si>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</si>
  <si>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</si>
  <si>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</si>
  <si>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</si>
  <si>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</si>
  <si>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</si>
  <si>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</si>
  <si>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</si>
  <si>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</si>
  <si>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</si>
  <si>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</si>
  <si>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</si>
  <si>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</si>
  <si>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</si>
  <si>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</si>
  <si>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</si>
  <si>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</si>
  <si>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</si>
  <si>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</si>
  <si>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</si>
  <si>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</si>
  <si>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</si>
  <si>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</si>
  <si>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</si>
  <si>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</si>
  <si>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</si>
  <si>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</si>
  <si>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</si>
  <si>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</si>
  <si>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</si>
  <si>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</si>
  <si>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</si>
  <si>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</si>
  <si>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</si>
  <si>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</si>
  <si>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</si>
  <si>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</si>
  <si>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</si>
  <si>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</si>
  <si>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</si>
  <si>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</si>
  <si>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</si>
  <si>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</si>
  <si>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</si>
  <si>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</si>
  <si>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</si>
  <si>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</si>
  <si>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</si>
  <si>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</si>
  <si>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</si>
  <si>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</si>
  <si>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</si>
  <si>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</si>
  <si>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</si>
  <si>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</si>
  <si>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</si>
  <si>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</si>
  <si>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</si>
  <si>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</si>
  <si>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</si>
  <si>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</si>
  <si>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</si>
  <si>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</si>
  <si>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</si>
  <si>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</si>
  <si>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</si>
  <si>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</si>
  <si>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</si>
  <si>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</si>
  <si>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</si>
  <si>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</si>
  <si>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</si>
  <si>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</si>
  <si>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</si>
  <si>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</si>
  <si>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</si>
  <si>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</si>
  <si>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</si>
  <si>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</si>
  <si>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</si>
  <si>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</si>
  <si>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</si>
  <si>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</si>
  <si>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</si>
  <si>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</si>
  <si>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</si>
  <si>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</si>
  <si>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</si>
  <si>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</si>
  <si>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</si>
  <si>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</si>
  <si>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</si>
  <si>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</si>
  <si>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</si>
  <si>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</si>
  <si>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</si>
  <si>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</si>
  <si>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</si>
  <si>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</si>
  <si>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</si>
  <si>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</si>
  <si>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</si>
  <si>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</si>
  <si>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</si>
  <si>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</si>
  <si>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</si>
  <si>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</si>
  <si>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</si>
  <si>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</si>
  <si>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</si>
  <si>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</si>
  <si>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</si>
  <si>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</si>
  <si>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</si>
  <si>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</si>
  <si>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</si>
  <si>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</si>
  <si>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</si>
  <si>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</si>
  <si>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</si>
  <si>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</si>
  <si>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</si>
  <si>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</si>
  <si>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</si>
  <si>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</si>
  <si>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</si>
  <si>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</si>
  <si>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</si>
  <si>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</si>
  <si>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</si>
  <si>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</si>
  <si>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</si>
  <si>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</si>
  <si>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</si>
  <si>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</si>
  <si>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</si>
  <si>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</si>
  <si>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</si>
  <si>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</si>
  <si>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</si>
  <si>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</si>
  <si>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</si>
  <si>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</si>
  <si>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</si>
  <si>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</si>
  <si>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</si>
  <si>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</si>
  <si>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</si>
  <si>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</si>
  <si>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</si>
  <si>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</si>
  <si>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</si>
  <si>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</si>
  <si>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</si>
  <si>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</si>
  <si>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</si>
  <si>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</si>
  <si>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</si>
  <si>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</si>
  <si>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</si>
  <si>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</si>
  <si>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</si>
  <si>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</si>
  <si>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</si>
  <si>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</si>
  <si>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</si>
  <si>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</si>
  <si>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</si>
  <si>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</si>
  <si>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</si>
  <si>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</si>
  <si>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</si>
  <si>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</si>
  <si>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</si>
  <si>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</si>
  <si>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</si>
  <si>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</si>
  <si>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</si>
  <si>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</si>
  <si>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</si>
  <si>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</si>
  <si>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</si>
  <si>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</si>
  <si>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</si>
  <si>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</si>
  <si>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</si>
  <si>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</si>
  <si>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</si>
  <si>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</si>
  <si>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</si>
  <si>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</si>
  <si>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</si>
  <si>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</si>
  <si>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</si>
  <si>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</si>
  <si>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</si>
  <si>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</si>
  <si>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</si>
  <si>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</si>
  <si>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</si>
  <si>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</si>
  <si>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</si>
  <si>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</si>
  <si>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</si>
  <si>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</si>
  <si>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</si>
  <si>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</si>
  <si>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</si>
  <si>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</si>
  <si>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</si>
  <si>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</si>
  <si>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</si>
  <si>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</si>
  <si>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</si>
  <si>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</si>
  <si>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</si>
  <si>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</si>
  <si>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</si>
  <si>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</si>
  <si>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</si>
  <si>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</si>
  <si>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</si>
  <si>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</si>
  <si>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</si>
  <si>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</si>
  <si>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</si>
  <si>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</si>
  <si>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</si>
  <si>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</si>
  <si>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</si>
  <si>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</si>
  <si>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</si>
  <si>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</si>
  <si>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</si>
  <si>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</si>
  <si>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</si>
  <si>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</si>
  <si>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</si>
  <si>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</si>
  <si>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</si>
  <si>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</si>
  <si>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</si>
  <si>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</si>
  <si>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</si>
  <si>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</si>
  <si>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</si>
  <si>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</si>
  <si>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</si>
  <si>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</si>
  <si>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</si>
  <si>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</si>
  <si>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</si>
  <si>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</si>
  <si>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</si>
  <si>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</si>
  <si>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</si>
  <si>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</si>
  <si>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</si>
  <si>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</si>
  <si>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</si>
  <si>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</si>
  <si>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</si>
  <si>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</si>
  <si>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</si>
  <si>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</si>
  <si>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</si>
  <si>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</si>
  <si>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</si>
  <si>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</si>
  <si>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</si>
  <si>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</si>
  <si>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</si>
  <si>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</si>
  <si>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</si>
  <si>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</si>
  <si>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</si>
  <si>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</si>
  <si>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</si>
  <si>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</si>
  <si>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</si>
  <si>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</si>
  <si>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</si>
  <si>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</si>
  <si>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</si>
  <si>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</si>
  <si>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</si>
  <si>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</si>
  <si>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</si>
  <si>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</si>
  <si>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</si>
  <si>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</si>
  <si>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</si>
  <si>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</si>
  <si>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</si>
  <si>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</si>
  <si>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</si>
  <si>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</si>
  <si>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</si>
  <si>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</si>
  <si>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</si>
  <si>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</si>
  <si>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</si>
  <si>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</si>
  <si>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</si>
  <si>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</si>
  <si>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</si>
  <si>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</si>
  <si>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</si>
  <si>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</si>
  <si>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</si>
  <si>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</si>
  <si>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</si>
  <si>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</si>
  <si>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</si>
  <si>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</si>
  <si>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</si>
  <si>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</si>
  <si>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</si>
  <si>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</si>
  <si>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</si>
  <si>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</si>
  <si>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</si>
  <si>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</si>
  <si>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</si>
  <si>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</si>
  <si>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</si>
  <si>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</si>
  <si>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</si>
  <si>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</si>
  <si>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</si>
  <si>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</si>
  <si>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</si>
  <si>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</si>
  <si>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</si>
  <si>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</si>
  <si>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</si>
  <si>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</si>
  <si>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</si>
  <si>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</si>
  <si>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</si>
  <si>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</si>
  <si>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</si>
  <si>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</si>
  <si>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</si>
  <si>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</si>
  <si>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</si>
  <si>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</si>
  <si>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</si>
  <si>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</si>
  <si>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</si>
  <si>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</si>
  <si>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</si>
  <si>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</si>
  <si>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</si>
  <si>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</si>
  <si>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</si>
  <si>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</si>
  <si>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</si>
  <si>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</si>
  <si>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</si>
  <si>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</si>
  <si>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</si>
  <si>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</si>
  <si>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</si>
  <si>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</si>
  <si>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</si>
  <si>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</si>
  <si>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</si>
  <si>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</si>
  <si>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</si>
  <si>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</si>
  <si>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</si>
  <si>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</si>
  <si>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</si>
  <si>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</si>
  <si>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</si>
  <si>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</si>
  <si>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</si>
  <si>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</si>
  <si>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</si>
  <si>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</si>
  <si>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</si>
  <si>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</si>
  <si>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</si>
  <si>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</si>
  <si>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</si>
  <si>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</si>
  <si>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</si>
  <si>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</si>
  <si>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</si>
  <si>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</si>
  <si>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</si>
  <si>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</si>
  <si>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</si>
  <si>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</si>
  <si>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</si>
  <si>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</si>
  <si>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</si>
  <si>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</si>
  <si>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</si>
  <si>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</si>
  <si>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</si>
  <si>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</si>
  <si>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</si>
  <si>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</si>
  <si>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</si>
  <si>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</si>
  <si>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</si>
  <si>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</si>
  <si>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</si>
  <si>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</si>
  <si>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</si>
  <si>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</si>
  <si>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</si>
  <si>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</si>
  <si>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</si>
  <si>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</si>
  <si>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</si>
  <si>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</si>
  <si>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</si>
  <si>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</si>
  <si>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</si>
  <si>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</si>
  <si>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</si>
  <si>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</si>
  <si>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</si>
  <si>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</si>
  <si>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</si>
  <si>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</si>
  <si>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</si>
  <si>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</si>
  <si>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</si>
  <si>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</si>
  <si>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</si>
  <si>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</si>
  <si>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</si>
  <si>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</si>
  <si>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</si>
  <si>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</si>
  <si>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</si>
  <si>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</si>
  <si>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</si>
  <si>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</si>
  <si>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</si>
  <si>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</si>
  <si>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</si>
  <si>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</si>
  <si>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</si>
  <si>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</si>
  <si>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</si>
  <si>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</si>
  <si>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</si>
  <si>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</si>
  <si>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</si>
  <si>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</si>
  <si>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</si>
  <si>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</si>
  <si>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</si>
  <si>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</si>
  <si>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</si>
  <si>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</si>
  <si>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</si>
  <si>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</si>
  <si>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</si>
  <si>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</si>
  <si>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</si>
  <si>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</si>
  <si>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</si>
  <si>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</si>
  <si>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</si>
  <si>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</si>
  <si>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</si>
  <si>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</si>
  <si>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</si>
  <si>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</si>
  <si>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</si>
  <si>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</si>
  <si>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</si>
  <si>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</si>
  <si>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</si>
  <si>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</si>
  <si>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</si>
  <si>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</si>
  <si>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</si>
  <si>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</si>
  <si>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</si>
  <si>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</si>
  <si>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</si>
  <si>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</si>
  <si>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</si>
  <si>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</si>
  <si>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</si>
  <si>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</si>
  <si>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</si>
  <si>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</si>
  <si>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</si>
  <si>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</si>
  <si>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</si>
  <si>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</si>
  <si>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</si>
  <si>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</si>
  <si>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</si>
  <si>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</si>
  <si>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</si>
  <si>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</si>
  <si>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</si>
  <si>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</si>
  <si>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</si>
  <si>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</si>
  <si>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</si>
  <si>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</si>
  <si>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</si>
  <si>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</si>
  <si>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</si>
  <si>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</si>
  <si>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</si>
  <si>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</si>
  <si>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</si>
  <si>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</si>
  <si>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</si>
  <si>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</si>
  <si>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</si>
  <si>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</si>
  <si>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</si>
  <si>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</si>
  <si>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</si>
  <si>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</si>
  <si>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</si>
  <si>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</si>
  <si>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</si>
  <si>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</si>
  <si>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</si>
  <si>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</si>
  <si>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</si>
  <si>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</si>
  <si>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</si>
  <si>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</si>
  <si>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</si>
  <si>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</si>
  <si>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</si>
  <si>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</si>
  <si>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</si>
  <si>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</si>
  <si>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</si>
  <si>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</si>
  <si>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</si>
  <si>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</si>
  <si>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</si>
  <si>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</si>
  <si>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</si>
  <si>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</si>
  <si>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</si>
  <si>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</si>
  <si>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</si>
  <si>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</si>
  <si>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</si>
  <si>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</si>
  <si>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</si>
  <si>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</si>
  <si>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</si>
  <si>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</si>
  <si>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</si>
  <si>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</si>
  <si>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</si>
  <si>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</si>
  <si>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</si>
  <si>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</si>
  <si>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</si>
  <si>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</si>
  <si>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</si>
  <si>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</si>
  <si>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</si>
  <si>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</si>
  <si>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</si>
  <si>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</si>
  <si>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</si>
  <si>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</si>
  <si>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</si>
  <si>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</si>
  <si>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</si>
  <si>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</si>
  <si>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</si>
  <si>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</si>
  <si>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</si>
  <si>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</si>
  <si>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</si>
  <si>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</si>
  <si>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</si>
  <si>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</si>
  <si>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</si>
  <si>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</si>
  <si>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</si>
  <si>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</si>
  <si>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</si>
  <si>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</si>
  <si>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</si>
  <si>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</si>
  <si>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</si>
  <si>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</si>
  <si>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</si>
  <si>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</si>
  <si>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</si>
  <si>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</si>
  <si>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</si>
  <si>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</si>
  <si>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</si>
  <si>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</si>
  <si>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</si>
  <si>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</si>
  <si>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</si>
  <si>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</si>
  <si>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</si>
  <si>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</si>
  <si>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</si>
  <si>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</si>
  <si>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</si>
  <si>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</si>
  <si>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</si>
  <si>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</si>
  <si>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</si>
  <si>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</si>
  <si>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</si>
  <si>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</si>
  <si>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</si>
  <si>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</si>
  <si>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</si>
  <si>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</si>
  <si>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</si>
  <si>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</si>
  <si>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</si>
  <si>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</si>
  <si>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</si>
  <si>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</si>
  <si>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</si>
  <si>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</si>
  <si>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</si>
  <si>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</si>
  <si>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</si>
  <si>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</si>
  <si>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</si>
  <si>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</si>
  <si>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</si>
  <si>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</si>
  <si>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</si>
  <si>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</si>
  <si>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</si>
  <si>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</si>
  <si>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</si>
  <si>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</si>
  <si>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</si>
  <si>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</si>
  <si>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</si>
  <si>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</si>
  <si>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</si>
  <si>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</si>
  <si>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</si>
  <si>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</si>
  <si>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</si>
  <si>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</si>
  <si>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</si>
  <si>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</si>
  <si>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</si>
  <si>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</si>
  <si>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</si>
  <si>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</si>
  <si>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</si>
  <si>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</si>
  <si>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</si>
  <si>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</si>
  <si>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</si>
  <si>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</si>
  <si>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</si>
  <si>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</si>
  <si>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</si>
  <si>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</si>
  <si>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</si>
  <si>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</si>
  <si>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</si>
  <si>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</si>
  <si>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</si>
  <si>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</si>
  <si>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</si>
  <si>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</si>
  <si>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</si>
  <si>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</si>
  <si>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</si>
  <si>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</si>
  <si>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</si>
  <si>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</si>
  <si>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</si>
  <si>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</si>
  <si>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</si>
  <si>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</si>
  <si>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</si>
  <si>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</si>
  <si>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</si>
  <si>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</si>
  <si>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</si>
  <si>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</si>
  <si>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</si>
  <si>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</si>
  <si>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</si>
  <si>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</si>
  <si>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</si>
  <si>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</si>
  <si>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</si>
  <si>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</si>
  <si>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</si>
  <si>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</si>
  <si>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</si>
  <si>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</si>
  <si>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</si>
  <si>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</si>
  <si>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</si>
  <si>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</si>
  <si>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</si>
  <si>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</si>
  <si>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</si>
  <si>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</si>
  <si>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</si>
  <si>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</si>
  <si>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</si>
  <si>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</si>
  <si>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</si>
  <si>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</si>
  <si>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</si>
  <si>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</si>
  <si>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</si>
  <si>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</si>
  <si>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</si>
  <si>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</si>
  <si>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</si>
  <si>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</si>
  <si>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</si>
  <si>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</si>
  <si>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</si>
  <si>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</si>
  <si>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</si>
  <si>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</si>
  <si>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</si>
  <si>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</si>
  <si>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</si>
  <si>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</si>
  <si>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</si>
  <si>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</si>
  <si>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</si>
  <si>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</si>
  <si>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</si>
  <si>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</si>
  <si>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</si>
  <si>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</si>
  <si>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</si>
  <si>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</si>
  <si>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</si>
  <si>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</si>
  <si>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</si>
  <si>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</si>
  <si>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</si>
  <si>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</si>
  <si>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</si>
  <si>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</si>
  <si>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</si>
  <si>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</si>
  <si>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</si>
  <si>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</si>
  <si>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</si>
  <si>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</si>
  <si>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</si>
  <si>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</si>
  <si>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</si>
  <si>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</si>
  <si>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</si>
  <si>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</si>
  <si>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</si>
  <si>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</si>
  <si>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</si>
  <si>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</si>
  <si>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</si>
  <si>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</si>
  <si>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</si>
  <si>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</si>
  <si>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</si>
  <si>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</si>
  <si>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</si>
  <si>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</si>
  <si>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</si>
  <si>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</si>
  <si>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</si>
  <si>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</si>
  <si>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</si>
  <si>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</si>
  <si>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</si>
  <si>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</si>
  <si>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</si>
  <si>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</si>
  <si>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</si>
  <si>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</si>
  <si>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</si>
  <si>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</si>
  <si>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</si>
  <si>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</si>
  <si>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</si>
  <si>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</si>
  <si>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</si>
  <si>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</si>
  <si>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</si>
  <si>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</si>
  <si>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</si>
  <si>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</si>
  <si>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</si>
  <si>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</si>
  <si>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</si>
  <si>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</si>
  <si>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</si>
  <si>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</si>
  <si>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</si>
  <si>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</si>
  <si>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</si>
  <si>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</si>
  <si>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</si>
  <si>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</si>
  <si>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</si>
  <si>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</si>
  <si>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</si>
  <si>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</si>
  <si>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</si>
  <si>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</si>
  <si>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</si>
  <si>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</si>
  <si>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</si>
  <si>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</si>
  <si>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</si>
  <si>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</si>
  <si>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</si>
  <si>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</si>
  <si>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</si>
  <si>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</si>
  <si>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</si>
  <si>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</si>
  <si>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</si>
  <si>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</si>
  <si>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</si>
  <si>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</si>
  <si>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</si>
  <si>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</si>
  <si>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</si>
  <si>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</si>
  <si>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</si>
  <si>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</si>
  <si>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</si>
  <si>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</si>
  <si>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</si>
  <si>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</si>
  <si>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</si>
  <si>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</si>
  <si>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</si>
  <si>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</si>
  <si>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</si>
  <si>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</si>
  <si>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</si>
  <si>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</si>
  <si>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</si>
  <si>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</si>
  <si>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</si>
  <si>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</si>
  <si>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</si>
  <si>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</si>
  <si>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</si>
  <si>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</si>
  <si>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</si>
  <si>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</si>
  <si>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</si>
  <si>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</si>
  <si>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</si>
  <si>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</si>
  <si>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</si>
  <si>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</si>
  <si>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</si>
  <si>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</si>
  <si>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</si>
  <si>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</si>
  <si>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</si>
  <si>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</si>
  <si>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</si>
  <si>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</si>
  <si>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</si>
  <si>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</si>
  <si>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</si>
  <si>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</si>
  <si>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</si>
  <si>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</si>
  <si>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</si>
  <si>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</si>
  <si>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</si>
  <si>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</si>
  <si>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</si>
  <si>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</si>
  <si>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</si>
  <si>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</si>
  <si>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</si>
  <si>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</si>
  <si>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</si>
  <si>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</si>
  <si>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</si>
  <si>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</si>
  <si>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</si>
  <si>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</si>
  <si>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</si>
  <si>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</si>
  <si>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</si>
  <si>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</si>
  <si>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</si>
  <si>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</si>
  <si>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</si>
  <si>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</si>
  <si>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</si>
  <si>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</si>
  <si>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</si>
  <si>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</si>
  <si>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</si>
  <si>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</si>
  <si>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</si>
  <si>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</si>
  <si>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</si>
  <si>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</si>
  <si>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</si>
  <si>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</si>
  <si>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</si>
  <si>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</si>
  <si>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</si>
  <si>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</si>
  <si>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</si>
  <si>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Employee Name</t>
  </si>
  <si>
    <t>Total no. of Working Hours</t>
  </si>
  <si>
    <t>Work Efficiency</t>
  </si>
  <si>
    <t>Active with Customer</t>
  </si>
  <si>
    <t>Row Labels</t>
  </si>
  <si>
    <t>Ashok Kumar</t>
  </si>
  <si>
    <t>Manoj Kumar</t>
  </si>
  <si>
    <t>Rajesh Kumar</t>
  </si>
  <si>
    <t>Santosh Kumar</t>
  </si>
  <si>
    <t>Sunil Kumar</t>
  </si>
  <si>
    <t>Sum of Work Efficiency</t>
  </si>
  <si>
    <t>Report 1: Working Efficiency</t>
  </si>
  <si>
    <t>Tariq Akhlaq</t>
  </si>
  <si>
    <t>Tasneem Khan</t>
  </si>
  <si>
    <t>Sum of Active with Customer</t>
  </si>
  <si>
    <t>Report 2: Active With Customer</t>
  </si>
  <si>
    <t>Sum of Attended Calls</t>
  </si>
  <si>
    <t>Report 3: Attended Calls</t>
  </si>
  <si>
    <t>Tahira Qureshi</t>
  </si>
  <si>
    <t>Tapas Chakraborty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</si>
</sst>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top"/>
    </xf>
    <xf numFmtId="0" fontId="2" fillId="0" borderId="0" xfId="0" applyFont="1"/>
    <xf numFmtId="49" fontId="3" fillId="0" borderId="2" xfId="0" applyNumberFormat="1" applyFont="1" applyBorder="1" applyAlignment="1">
      <alignment horizontal="right" vertical="top" wrapText="1"/>
    </xf>
    <xf numFmtId="49" fontId="1" fillId="2" borderId="1" xfId="0" applyNumberFormat="1" applyFont="1" applyFill="1" applyBorder="1" applyAlignment="1">
      <alignment horizontal="center" vertical="top" wrapText="1"/>
    </xf>
    <xf numFmtId="3" fontId="3" fillId="0" borderId="2" xfId="0" applyNumberFormat="1" applyFont="1" applyBorder="1" applyAlignment="1">
      <alignment horizontal="right" vertical="top" wrapText="1"/>
    </xf>
    <xf numFmtId="164" fontId="3" fillId="0" borderId="2" xfId="0" applyNumberFormat="1" applyFont="1" applyBorder="1" applyAlignment="1">
      <alignment horizontal="right" vertical="top" wrapText="1"/>
    </xf>
    <xf numFmtId="49" fontId="1" fillId="2" borderId="1" xfId="0" applyNumberFormat="1" applyFont="1" applyFill="1" applyBorder="1" applyAlignment="1">
      <alignment horizontal="center" vertical="center"/>
    </xf>
    <xf numFmtId="165" fontId="3" fillId="0" borderId="2" xfId="0" applyNumberFormat="1" applyFont="1" applyBorder="1" applyAlignment="1">
      <alignment horizontal="right" vertical="top" wrapText="1"/>
    </xf>
    <xf numFmtId="165" fontId="0" fillId="0" borderId="0" xfId="0" applyNumberFormat="1"/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12"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 Project.xlsm]Report!PivotTable1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446327683615821E-3"/>
          <c:y val="2.1954656158431284E-3"/>
          <c:w val="0.98888888888888893"/>
          <c:h val="0.69556794983960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Report!$A$4:$A$8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Report!$B$4:$B$8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B-457E-BF36-E32FD1F74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3559583"/>
        <c:axId val="2086834863"/>
      </c:barChart>
      <c:catAx>
        <c:axId val="207355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834863"/>
        <c:crosses val="autoZero"/>
        <c:auto val="1"/>
        <c:lblAlgn val="ctr"/>
        <c:lblOffset val="100"/>
        <c:noMultiLvlLbl val="0"/>
      </c:catAx>
      <c:valAx>
        <c:axId val="2086834863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207355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 Project.xlsm]Report!PivotTable2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Report!$E$3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67A-4F8F-B7B0-343DADC0F98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67A-4F8F-B7B0-343DADC0F98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67A-4F8F-B7B0-343DADC0F98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67A-4F8F-B7B0-343DADC0F98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Report!$D$4:$D$8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Report!$E$4:$E$8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A-4ECF-AC0E-618C9AAE8B0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 Project.xlsm]Report!PivotTable3</c:name>
    <c:fmtId val="0"/>
  </c:pivotSource>
  <c:chart>
    <c:autoTitleDeleted val="1"/>
    <c:pivotFmts>
      <c:pivotFmt>
        <c:idx val="0"/>
        <c:spPr>
          <a:gradFill>
            <a:gsLst>
              <a:gs pos="100000">
                <a:schemeClr val="accent1"/>
              </a:gs>
              <a:gs pos="0">
                <a:schemeClr val="accent1">
                  <a:lumMod val="75000"/>
                </a:schemeClr>
              </a:gs>
            </a:gsLst>
            <a:lin ang="0" scaled="1"/>
          </a:gradFill>
          <a:ln>
            <a:noFill/>
          </a:ln>
          <a:effectLst>
            <a:innerShdw dist="12700" dir="16200000">
              <a:schemeClr val="lt1">
                <a:alpha val="75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Report!$H$3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Report!$G$4:$G$10</c:f>
              <c:strCache>
                <c:ptCount val="7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Tahira Qureshi</c:v>
                </c:pt>
                <c:pt idx="4">
                  <c:v>Tapas Chakraborty</c:v>
                </c:pt>
                <c:pt idx="5">
                  <c:v>Tariq Akhlaq</c:v>
                </c:pt>
                <c:pt idx="6">
                  <c:v>Tasneem Khan</c:v>
                </c:pt>
              </c:strCache>
            </c:strRef>
          </c:cat>
          <c:val>
            <c:numRef>
              <c:f>Report!$H$4:$H$10</c:f>
              <c:numCache>
                <c:formatCode>General</c:formatCode>
                <c:ptCount val="7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A-4917-B025-AE66034B7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797128768"/>
        <c:axId val="899173280"/>
      </c:areaChart>
      <c:catAx>
        <c:axId val="179712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173280"/>
        <c:crosses val="autoZero"/>
        <c:auto val="1"/>
        <c:lblAlgn val="ctr"/>
        <c:lblOffset val="100"/>
        <c:noMultiLvlLbl val="0"/>
      </c:catAx>
      <c:valAx>
        <c:axId val="8991732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12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22" fmlaLink="$D$1" max="150" min="1" page="10" val="5"/>
</file>

<file path=xl/ctrlProps/ctrlProp2.xml><?xml version="1.0" encoding="utf-8"?>
<formControlPr xmlns="http://schemas.microsoft.com/office/spreadsheetml/2009/9/main" objectType="Scroll" dx="22" fmlaLink="$G$1" max="150" min="1" page="10" val="5"/>
</file>

<file path=xl/ctrlProps/ctrlProp3.xml><?xml version="1.0" encoding="utf-8"?>
<formControlPr xmlns="http://schemas.microsoft.com/office/spreadsheetml/2009/9/main" objectType="Scroll" dx="22" fmlaLink="$M$1" max="150" min="1" page="10" val="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57151</xdr:colOff>
      <xdr:row>0</xdr:row>
      <xdr:rowOff>28575</xdr:rowOff>
    </xdr:from>
    <xdr:to>
      <xdr:col>1</xdr:col>
      <xdr:colOff>742951</xdr:colOff>
      <xdr:row>0</xdr:row>
      <xdr:rowOff>447675</xdr:rowOff>
    </xdr:to>
    <xdr:sp macro="" textlink="$D$1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85926" y="28575"/>
          <a:ext cx="685800" cy="419100"/>
        </a:xfrm>
        <a:prstGeom prst="rect">
          <a:avLst/>
        </a:prstGeom>
        <a:solidFill>
          <a:schemeClr val="bg1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0" rIns="180000" rtlCol="0" anchor="ctr"/>
        <a:lstStyle/>
        <a:p>
          <a:pPr algn="r"/>
          <a:fld id="{D3C633E1-95E3-44A5-BBB7-FB247E30279A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</a:t>
          </a:fld>
          <a:endParaRPr lang="en-IN" sz="2000" b="1">
            <a:latin typeface="Bodoni MT Black" panose="02070A03080606020203" pitchFamily="18" charset="0"/>
          </a:endParaRPr>
        </a:p>
      </xdr:txBody>
    </xdr:sp>
    <xdr:clientData/>
  </xdr:twoCellAnchor>
  <xdr:twoCellAnchor>
    <xdr:from>
      <xdr:col>0</xdr:col>
      <xdr:colOff>66675</xdr:colOff>
      <xdr:row>11</xdr:row>
      <xdr:rowOff>109537</xdr:rowOff>
    </xdr:from>
    <xdr:to>
      <xdr:col>2</xdr:col>
      <xdr:colOff>76200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66675</xdr:rowOff>
        </xdr:from>
        <xdr:to>
          <xdr:col>1</xdr:col>
          <xdr:colOff>304800</xdr:colOff>
          <xdr:row>0</xdr:row>
          <xdr:rowOff>409575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895350</xdr:colOff>
      <xdr:row>0</xdr:row>
      <xdr:rowOff>28575</xdr:rowOff>
    </xdr:from>
    <xdr:to>
      <xdr:col>0</xdr:col>
      <xdr:colOff>1581150</xdr:colOff>
      <xdr:row>0</xdr:row>
      <xdr:rowOff>457200</xdr:rowOff>
    </xdr:to>
    <xdr:pic macro="[0]!chart1_show"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28575"/>
          <a:ext cx="685800" cy="42862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914399</xdr:colOff>
      <xdr:row>0</xdr:row>
      <xdr:rowOff>38100</xdr:rowOff>
    </xdr:from>
    <xdr:to>
      <xdr:col>0</xdr:col>
      <xdr:colOff>1601999</xdr:colOff>
      <xdr:row>0</xdr:row>
      <xdr:rowOff>438150</xdr:rowOff>
    </xdr:to>
    <xdr:pic macro="[0]!chart1_hide"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399" y="38100"/>
          <a:ext cx="687600" cy="400050"/>
        </a:xfrm>
        <a:prstGeom prst="rect">
          <a:avLst/>
        </a:prstGeom>
        <a:ln w="19050">
          <a:solidFill>
            <a:schemeClr val="tx1"/>
          </a:solidFill>
        </a:ln>
        <a:effectLst>
          <a:softEdge rad="0"/>
        </a:effectLst>
      </xdr:spPr>
    </xdr:pic>
    <xdr:clientData/>
  </xdr:twoCellAnchor>
  <xdr:twoCellAnchor>
    <xdr:from>
      <xdr:col>0</xdr:col>
      <xdr:colOff>0</xdr:colOff>
      <xdr:row>0</xdr:row>
      <xdr:rowOff>19049</xdr:rowOff>
    </xdr:from>
    <xdr:to>
      <xdr:col>0</xdr:col>
      <xdr:colOff>895350</xdr:colOff>
      <xdr:row>0</xdr:row>
      <xdr:rowOff>447675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19049"/>
          <a:ext cx="895350" cy="428626"/>
        </a:xfrm>
        <a:prstGeom prst="rightArrow">
          <a:avLst>
            <a:gd name="adj1" fmla="val 100000"/>
            <a:gd name="adj2" fmla="val 50000"/>
          </a:avLst>
        </a:prstGeom>
        <a:solidFill>
          <a:schemeClr val="tx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/>
            <a:t>Chart</a:t>
          </a:r>
        </a:p>
      </xdr:txBody>
    </xdr:sp>
    <xdr:clientData/>
  </xdr:twoCellAnchor>
  <xdr:twoCellAnchor>
    <xdr:from>
      <xdr:col>1</xdr:col>
      <xdr:colOff>742950</xdr:colOff>
      <xdr:row>0</xdr:row>
      <xdr:rowOff>28575</xdr:rowOff>
    </xdr:from>
    <xdr:to>
      <xdr:col>2</xdr:col>
      <xdr:colOff>0</xdr:colOff>
      <xdr:row>0</xdr:row>
      <xdr:rowOff>457200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371725" y="28575"/>
          <a:ext cx="990600" cy="428625"/>
        </a:xfrm>
        <a:prstGeom prst="leftArrow">
          <a:avLst>
            <a:gd name="adj1" fmla="val 100000"/>
            <a:gd name="adj2" fmla="val 50000"/>
          </a:avLst>
        </a:prstGeom>
        <a:solidFill>
          <a:schemeClr val="tx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/>
            <a:t>Count</a:t>
          </a:r>
        </a:p>
      </xdr:txBody>
    </xdr:sp>
    <xdr:clientData/>
  </xdr:twoCellAnchor>
  <xdr:twoCellAnchor>
    <xdr:from>
      <xdr:col>4</xdr:col>
      <xdr:colOff>57151</xdr:colOff>
      <xdr:row>0</xdr:row>
      <xdr:rowOff>28575</xdr:rowOff>
    </xdr:from>
    <xdr:to>
      <xdr:col>4</xdr:col>
      <xdr:colOff>742951</xdr:colOff>
      <xdr:row>0</xdr:row>
      <xdr:rowOff>447675</xdr:rowOff>
    </xdr:to>
    <xdr:sp macro="" textlink="$G$1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685926" y="28575"/>
          <a:ext cx="685800" cy="419100"/>
        </a:xfrm>
        <a:prstGeom prst="rect">
          <a:avLst/>
        </a:prstGeom>
        <a:solidFill>
          <a:schemeClr val="bg1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0" rIns="180000" rtlCol="0" anchor="ctr"/>
        <a:lstStyle/>
        <a:p>
          <a:pPr algn="r"/>
          <a:fld id="{C3E88984-6EE8-46F5-800E-24D88BC6DA1B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</a:t>
          </a:fld>
          <a:endParaRPr lang="en-IN" sz="2400" b="1">
            <a:latin typeface="Bodoni MT Black" panose="02070A030806060202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66675</xdr:rowOff>
        </xdr:from>
        <xdr:to>
          <xdr:col>4</xdr:col>
          <xdr:colOff>304800</xdr:colOff>
          <xdr:row>0</xdr:row>
          <xdr:rowOff>409575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</xdr:col>
      <xdr:colOff>895350</xdr:colOff>
      <xdr:row>0</xdr:row>
      <xdr:rowOff>28575</xdr:rowOff>
    </xdr:from>
    <xdr:ext cx="685800" cy="419099"/>
    <xdr:pic macro="[0]!chart2_show"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28575"/>
          <a:ext cx="685800" cy="41909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oneCellAnchor>
    <xdr:from>
      <xdr:col>3</xdr:col>
      <xdr:colOff>895349</xdr:colOff>
      <xdr:row>0</xdr:row>
      <xdr:rowOff>38100</xdr:rowOff>
    </xdr:from>
    <xdr:ext cx="687600" cy="400050"/>
    <xdr:pic macro="[0]!chart2_hide">
      <xdr:nvPicPr>
        <xdr:cNvPr id="14" name="Picture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0174" y="38100"/>
          <a:ext cx="687600" cy="400050"/>
        </a:xfrm>
        <a:prstGeom prst="rect">
          <a:avLst/>
        </a:prstGeom>
        <a:ln w="19050">
          <a:solidFill>
            <a:schemeClr val="tx1"/>
          </a:solidFill>
        </a:ln>
        <a:effectLst>
          <a:softEdge rad="0"/>
        </a:effectLst>
      </xdr:spPr>
    </xdr:pic>
    <xdr:clientData/>
  </xdr:oneCellAnchor>
  <xdr:twoCellAnchor>
    <xdr:from>
      <xdr:col>3</xdr:col>
      <xdr:colOff>0</xdr:colOff>
      <xdr:row>0</xdr:row>
      <xdr:rowOff>19049</xdr:rowOff>
    </xdr:from>
    <xdr:to>
      <xdr:col>3</xdr:col>
      <xdr:colOff>895350</xdr:colOff>
      <xdr:row>0</xdr:row>
      <xdr:rowOff>447675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067175" y="19049"/>
          <a:ext cx="895350" cy="428626"/>
        </a:xfrm>
        <a:prstGeom prst="rightArrow">
          <a:avLst>
            <a:gd name="adj1" fmla="val 100000"/>
            <a:gd name="adj2" fmla="val 50000"/>
          </a:avLst>
        </a:prstGeom>
        <a:solidFill>
          <a:schemeClr val="tx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/>
            <a:t>Chart</a:t>
          </a:r>
        </a:p>
      </xdr:txBody>
    </xdr:sp>
    <xdr:clientData/>
  </xdr:twoCellAnchor>
  <xdr:twoCellAnchor>
    <xdr:from>
      <xdr:col>4</xdr:col>
      <xdr:colOff>742950</xdr:colOff>
      <xdr:row>0</xdr:row>
      <xdr:rowOff>28575</xdr:rowOff>
    </xdr:from>
    <xdr:to>
      <xdr:col>5</xdr:col>
      <xdr:colOff>0</xdr:colOff>
      <xdr:row>0</xdr:row>
      <xdr:rowOff>457200</xdr:rowOff>
    </xdr:to>
    <xdr:sp macro="" textlink="">
      <xdr:nvSpPr>
        <xdr:cNvPr id="16" name="Arrow: Lef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1725" y="28575"/>
          <a:ext cx="990600" cy="428625"/>
        </a:xfrm>
        <a:prstGeom prst="leftArrow">
          <a:avLst>
            <a:gd name="adj1" fmla="val 100000"/>
            <a:gd name="adj2" fmla="val 50000"/>
          </a:avLst>
        </a:prstGeom>
        <a:solidFill>
          <a:schemeClr val="tx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/>
            <a:t>Count</a:t>
          </a:r>
        </a:p>
      </xdr:txBody>
    </xdr:sp>
    <xdr:clientData/>
  </xdr:twoCellAnchor>
  <xdr:twoCellAnchor>
    <xdr:from>
      <xdr:col>2</xdr:col>
      <xdr:colOff>752475</xdr:colOff>
      <xdr:row>12</xdr:row>
      <xdr:rowOff>52387</xdr:rowOff>
    </xdr:from>
    <xdr:to>
      <xdr:col>4</xdr:col>
      <xdr:colOff>1790700</xdr:colOff>
      <xdr:row>25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57151</xdr:colOff>
      <xdr:row>0</xdr:row>
      <xdr:rowOff>28575</xdr:rowOff>
    </xdr:from>
    <xdr:to>
      <xdr:col>7</xdr:col>
      <xdr:colOff>742951</xdr:colOff>
      <xdr:row>0</xdr:row>
      <xdr:rowOff>447675</xdr:rowOff>
    </xdr:to>
    <xdr:sp macro="" textlink="$M$1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924551" y="28575"/>
          <a:ext cx="685800" cy="419100"/>
        </a:xfrm>
        <a:prstGeom prst="rect">
          <a:avLst/>
        </a:prstGeom>
        <a:solidFill>
          <a:schemeClr val="bg1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0" rIns="180000" rtlCol="0" anchor="ctr"/>
        <a:lstStyle/>
        <a:p>
          <a:pPr algn="r"/>
          <a:fld id="{D90801E0-8DF3-4434-ADF8-E75EA26C7C25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</a:t>
          </a:fld>
          <a:endParaRPr lang="en-IN" sz="2400" b="1">
            <a:latin typeface="Bodoni MT Black" panose="02070A030806060202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0</xdr:row>
          <xdr:rowOff>66675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6</xdr:col>
      <xdr:colOff>914400</xdr:colOff>
      <xdr:row>0</xdr:row>
      <xdr:rowOff>19050</xdr:rowOff>
    </xdr:from>
    <xdr:ext cx="685800" cy="419099"/>
    <xdr:pic macro="[0]!chart3_show">
      <xdr:nvPicPr>
        <xdr:cNvPr id="21" name="Picture 20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0" y="19050"/>
          <a:ext cx="685800" cy="41909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oneCellAnchor>
    <xdr:from>
      <xdr:col>6</xdr:col>
      <xdr:colOff>923924</xdr:colOff>
      <xdr:row>0</xdr:row>
      <xdr:rowOff>38100</xdr:rowOff>
    </xdr:from>
    <xdr:ext cx="687600" cy="400050"/>
    <xdr:pic macro="[0]!chart3_hide">
      <xdr:nvPicPr>
        <xdr:cNvPr id="22" name="Pictur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0724" y="38100"/>
          <a:ext cx="687600" cy="400050"/>
        </a:xfrm>
        <a:prstGeom prst="rect">
          <a:avLst/>
        </a:prstGeom>
        <a:ln w="19050">
          <a:solidFill>
            <a:schemeClr val="tx1"/>
          </a:solidFill>
        </a:ln>
        <a:effectLst>
          <a:softEdge rad="0"/>
        </a:effectLst>
      </xdr:spPr>
    </xdr:pic>
    <xdr:clientData/>
  </xdr:oneCellAnchor>
  <xdr:twoCellAnchor>
    <xdr:from>
      <xdr:col>6</xdr:col>
      <xdr:colOff>0</xdr:colOff>
      <xdr:row>0</xdr:row>
      <xdr:rowOff>19049</xdr:rowOff>
    </xdr:from>
    <xdr:to>
      <xdr:col>6</xdr:col>
      <xdr:colOff>895350</xdr:colOff>
      <xdr:row>0</xdr:row>
      <xdr:rowOff>447675</xdr:rowOff>
    </xdr:to>
    <xdr:sp macro="" textlink="">
      <xdr:nvSpPr>
        <xdr:cNvPr id="23" name="Arrow: Righ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67175" y="19049"/>
          <a:ext cx="895350" cy="428626"/>
        </a:xfrm>
        <a:prstGeom prst="rightArrow">
          <a:avLst>
            <a:gd name="adj1" fmla="val 100000"/>
            <a:gd name="adj2" fmla="val 50000"/>
          </a:avLst>
        </a:prstGeom>
        <a:solidFill>
          <a:schemeClr val="tx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/>
            <a:t>Chart</a:t>
          </a:r>
        </a:p>
      </xdr:txBody>
    </xdr:sp>
    <xdr:clientData/>
  </xdr:twoCellAnchor>
  <xdr:twoCellAnchor>
    <xdr:from>
      <xdr:col>7</xdr:col>
      <xdr:colOff>742950</xdr:colOff>
      <xdr:row>0</xdr:row>
      <xdr:rowOff>28575</xdr:rowOff>
    </xdr:from>
    <xdr:to>
      <xdr:col>8</xdr:col>
      <xdr:colOff>0</xdr:colOff>
      <xdr:row>0</xdr:row>
      <xdr:rowOff>457200</xdr:rowOff>
    </xdr:to>
    <xdr:sp macro="" textlink="">
      <xdr:nvSpPr>
        <xdr:cNvPr id="24" name="Arrow: Lef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610350" y="28575"/>
          <a:ext cx="1066800" cy="428625"/>
        </a:xfrm>
        <a:prstGeom prst="leftArrow">
          <a:avLst>
            <a:gd name="adj1" fmla="val 100000"/>
            <a:gd name="adj2" fmla="val 50000"/>
          </a:avLst>
        </a:prstGeom>
        <a:solidFill>
          <a:schemeClr val="tx1"/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/>
            <a:t>Count</a:t>
          </a:r>
        </a:p>
      </xdr:txBody>
    </xdr:sp>
    <xdr:clientData/>
  </xdr:twoCellAnchor>
  <xdr:twoCellAnchor>
    <xdr:from>
      <xdr:col>6</xdr:col>
      <xdr:colOff>19051</xdr:colOff>
      <xdr:row>11</xdr:row>
      <xdr:rowOff>147637</xdr:rowOff>
    </xdr:from>
    <xdr:to>
      <xdr:col>8</xdr:col>
      <xdr:colOff>209551</xdr:colOff>
      <xdr:row>25</xdr:row>
      <xdr:rowOff>104775</xdr:rowOff>
    </xdr:to>
    <xdr:graphicFrame macro="">
      <xdr:nvGraphicFramePr>
        <xdr:cNvPr id="12" name="Chart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shika" refreshedDate="45863.963254050926" createdVersion="6" refreshedVersion="6" minRefreshableVersion="3" recordCount="149" xr:uid="{92CF3496-92C9-42E7-B981-1798AC77E310}">
  <cacheSource type="worksheet">
    <worksheetSource ref="A1:G150" sheet="Summary"/>
  </cacheSource>
  <cacheFields count="7">
    <cacheField name="Employee" numFmtId="0">
      <sharedItems/>
    </cacheField>
    <cacheField name="Employee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o. of Working Hours" numFmtId="165">
      <sharedItems/>
    </cacheField>
    <cacheField name="Work Efficiency" numFmtId="165">
      <sharedItems containsSemiMixedTypes="0" containsNonDate="0" containsDate="1" containsString="0" minDate="1899-12-30T04:56:13" maxDate="1899-12-30T09:16:31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omer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s v="08:15:43"/>
    <d v="1899-12-30T08:15:43"/>
    <d v="1899-12-30T01:08:42"/>
    <n v="98"/>
    <n v="0.55697138822580095"/>
  </r>
  <r>
    <s v="Mum_Afzal Husain (1008513)"/>
    <x v="1"/>
    <s v="08:15:36"/>
    <d v="1899-12-30T08:15:36"/>
    <d v="1899-12-30T01:09:59"/>
    <n v="23"/>
    <n v="0.58027306967984904"/>
  </r>
  <r>
    <s v="Mum_Anamika Gupta (1008514)"/>
    <x v="2"/>
    <s v="08:16:57"/>
    <d v="1899-12-30T08:16:57"/>
    <d v="1899-12-30T01:13:54"/>
    <n v="28"/>
    <n v="0.51708756749505302"/>
  </r>
  <r>
    <s v="Mum_Anikuttan (1008515)"/>
    <x v="3"/>
    <s v="08:09:56"/>
    <d v="1899-12-30T08:09:56"/>
    <d v="1899-12-30T02:19:02"/>
    <n v="29"/>
    <n v="0.47720778337188702"/>
  </r>
  <r>
    <s v="Mum_Anil Kumar (1008516)"/>
    <x v="4"/>
    <s v="07:20:41"/>
    <d v="1899-12-30T07:20:41"/>
    <d v="1899-12-30T03:04:58"/>
    <n v="93"/>
    <n v="0.43288831738587802"/>
  </r>
  <r>
    <s v="Mum_Anita Dixit (1008517)"/>
    <x v="5"/>
    <s v="05:00:09"/>
    <d v="1899-12-30T05:00:09"/>
    <d v="1899-12-30T00:27:07"/>
    <n v="92"/>
    <n v="0.65495030262646503"/>
  </r>
  <r>
    <s v="Mum_Anita Ghore (1008518)"/>
    <x v="6"/>
    <s v="08:16:38"/>
    <d v="1899-12-30T08:16:38"/>
    <d v="1899-12-30T02:41:42"/>
    <n v="26"/>
    <n v="0.49476474931203401"/>
  </r>
  <r>
    <s v="Mum_Anjali Deoram (1008519)"/>
    <x v="7"/>
    <s v="09:16:31"/>
    <d v="1899-12-30T09:16:31"/>
    <d v="1899-12-30T01:13:10"/>
    <n v="90"/>
    <n v="0.55128627474469205"/>
  </r>
  <r>
    <s v="Mum_Anjali Sahay (1008520)"/>
    <x v="8"/>
    <s v="08:13:18"/>
    <d v="1899-12-30T08:13:18"/>
    <d v="1899-12-30T01:06:39"/>
    <n v="89"/>
    <n v="0.55206432867085597"/>
  </r>
  <r>
    <s v="Mum_Annu Latika (1008521)"/>
    <x v="9"/>
    <s v="08:20:41"/>
    <d v="1899-12-30T08:20:41"/>
    <d v="1899-12-30T01:09:57"/>
    <n v="54"/>
    <n v="0.56868945774108703"/>
  </r>
  <r>
    <s v="Mum_Anoop Narayan (1008522)"/>
    <x v="10"/>
    <s v="08:10:35"/>
    <d v="1899-12-30T08:10:35"/>
    <d v="1899-12-30T01:09:15"/>
    <n v="87"/>
    <n v="0.56035332087650802"/>
  </r>
  <r>
    <s v="Mum_Anoop Raj (1008523)"/>
    <x v="11"/>
    <s v="08:04:10"/>
    <d v="1899-12-30T08:04:10"/>
    <d v="1899-12-30T03:01:18"/>
    <n v="65"/>
    <n v="0.41552495697073999"/>
  </r>
  <r>
    <s v="Mum_Anubhuti Gupta (1008524)"/>
    <x v="12"/>
    <s v="08:14:38"/>
    <d v="1899-12-30T08:14:38"/>
    <d v="1899-12-30T02:06:41"/>
    <n v="85"/>
    <n v="0.50026955994339195"/>
  </r>
  <r>
    <s v="Mum_Arun Kumar (1008525)"/>
    <x v="13"/>
    <s v="07:59:50"/>
    <d v="1899-12-30T07:59:50"/>
    <d v="1899-12-30T01:10:34"/>
    <n v="65"/>
    <n v="0.51396318166029897"/>
  </r>
  <r>
    <s v="Mum_Ashish Kumar (1008526)"/>
    <x v="14"/>
    <s v="08:16:59"/>
    <d v="1899-12-30T08:16:59"/>
    <d v="1899-12-30T01:16:59"/>
    <n v="83"/>
    <n v="0.510580502364264"/>
  </r>
  <r>
    <s v="Mum_Ashok Kumar (1008527)"/>
    <x v="15"/>
    <s v="08:17:15"/>
    <d v="1899-12-30T08:17:15"/>
    <d v="1899-12-30T02:24:20"/>
    <n v="82"/>
    <n v="0.48292274174627098"/>
  </r>
  <r>
    <s v="Hyd_Ashok Kumar (1008528)"/>
    <x v="15"/>
    <s v="07:53:01"/>
    <d v="1899-12-30T07:53:01"/>
    <d v="1899-12-30T00:56:29"/>
    <n v="81"/>
    <n v="0.57362319861879396"/>
  </r>
  <r>
    <s v="Hyd_Ashok Kumar (1008529)"/>
    <x v="15"/>
    <s v="08:16:43"/>
    <d v="1899-12-30T08:16:43"/>
    <d v="1899-12-30T01:10:07"/>
    <n v="80"/>
    <n v="0.56430560681810604"/>
  </r>
  <r>
    <s v="Hyd_Ashok Kumar (1008530)"/>
    <x v="15"/>
    <s v="08:21:16"/>
    <d v="1899-12-30T08:21:16"/>
    <d v="1899-12-30T02:40:10"/>
    <n v="79"/>
    <n v="0.46974331693044302"/>
  </r>
  <r>
    <s v="Hyd_Ashok Mahto (1008531)"/>
    <x v="16"/>
    <s v="08:17:52"/>
    <d v="1899-12-30T08:17:52"/>
    <d v="1899-12-30T01:14:30"/>
    <n v="78"/>
    <n v="0.57495313336904097"/>
  </r>
  <r>
    <s v="Hyd_Atul Kumar (1008532)"/>
    <x v="17"/>
    <s v="08:13:41"/>
    <d v="1899-12-30T08:13:41"/>
    <d v="1899-12-30T01:06:59"/>
    <n v="77"/>
    <n v="0.57945376590932096"/>
  </r>
  <r>
    <s v="Hyd_Azam (1008533)"/>
    <x v="18"/>
    <s v="08:17:34"/>
    <d v="1899-12-30T08:17:34"/>
    <d v="1899-12-30T01:09:47"/>
    <n v="76"/>
    <n v="0.588296375695049"/>
  </r>
  <r>
    <s v="Hyd_Bhagwat Singh (1008534)"/>
    <x v="19"/>
    <s v="07:41:44"/>
    <d v="1899-12-30T07:41:44"/>
    <d v="1899-12-30T02:10:18"/>
    <n v="75"/>
    <n v="0.46267686976609901"/>
  </r>
  <r>
    <s v="Hyd_Bindu Nair (1008535)"/>
    <x v="20"/>
    <s v="08:10:04"/>
    <d v="1899-12-30T08:10:04"/>
    <d v="1899-12-30T02:11:17"/>
    <n v="74"/>
    <n v="0.478030199972793"/>
  </r>
  <r>
    <s v="Hyd_Daleep Singh (1008536)"/>
    <x v="21"/>
    <s v="08:14:20"/>
    <d v="1899-12-30T08:14:20"/>
    <d v="1899-12-30T01:12:54"/>
    <n v="73"/>
    <n v="0.59983142279163904"/>
  </r>
  <r>
    <s v="Hyd_Deepak Kumar (1008537)"/>
    <x v="22"/>
    <s v="07:35:57"/>
    <d v="1899-12-30T07:35:57"/>
    <d v="1899-12-30T00:30:30"/>
    <n v="72"/>
    <n v="0.65029060203969702"/>
  </r>
  <r>
    <s v="Hyd_Deepika Nigam (1008538)"/>
    <x v="23"/>
    <s v="08:16:59"/>
    <d v="1899-12-30T08:16:59"/>
    <d v="1899-12-30T01:11:40"/>
    <n v="71"/>
    <n v="0.55001844461584903"/>
  </r>
  <r>
    <s v="Hyd_Dinesh Kumar (1008539)"/>
    <x v="24"/>
    <s v="08:13:53"/>
    <d v="1899-12-30T08:13:53"/>
    <d v="1899-12-30T01:10:03"/>
    <n v="70"/>
    <n v="0.51334660682347399"/>
  </r>
  <r>
    <s v="Hyd_Hari Kumar (1008540)"/>
    <x v="25"/>
    <s v="08:15:11"/>
    <d v="1899-12-30T08:15:11"/>
    <d v="1899-12-30T02:44:52"/>
    <n v="69"/>
    <n v="0.43603379219817601"/>
  </r>
  <r>
    <s v="Hyd_Heeramani Choudhary (1008541)"/>
    <x v="26"/>
    <s v="07:27:24"/>
    <d v="1899-12-30T07:27:24"/>
    <d v="1899-12-30T01:20:20"/>
    <n v="68"/>
    <n v="0.52954105200417201"/>
  </r>
  <r>
    <s v="Hyd_Indra Pal (1008542)"/>
    <x v="27"/>
    <s v="07:59:57"/>
    <d v="1899-12-30T07:59:57"/>
    <d v="1899-12-30T01:09:15"/>
    <n v="67"/>
    <n v="0.56446852102649603"/>
  </r>
  <r>
    <s v="Hyd_Indra Singh (1008543)"/>
    <x v="28"/>
    <s v="08:17:44"/>
    <d v="1899-12-30T08:17:44"/>
    <d v="1899-12-30T02:09:14"/>
    <n v="66"/>
    <n v="0.49789043664612898"/>
  </r>
  <r>
    <s v="Hyd_Jagdish Chandra (1008544)"/>
    <x v="29"/>
    <s v="08:19:10"/>
    <d v="1899-12-30T08:19:10"/>
    <d v="1899-12-30T01:09:03"/>
    <n v="65"/>
    <n v="0.56270450751252099"/>
  </r>
  <r>
    <s v="Hyd_Jairaj Vatham (1008545)"/>
    <x v="30"/>
    <s v="08:16:23"/>
    <d v="1899-12-30T08:16:23"/>
    <d v="1899-12-30T01:09:56"/>
    <n v="64"/>
    <n v="0.57680556021891705"/>
  </r>
  <r>
    <s v="Hyd_Janardan Mishra (1008546)"/>
    <x v="31"/>
    <s v="07:39:42"/>
    <d v="1899-12-30T07:39:42"/>
    <d v="1899-12-30T01:28:09"/>
    <n v="63"/>
    <n v="0.55728373576970502"/>
  </r>
  <r>
    <s v="Hyd_Jitendra Kumar (1008547)"/>
    <x v="32"/>
    <s v="08:11:27"/>
    <d v="1899-12-30T08:11:27"/>
    <d v="1899-12-30T02:35:12"/>
    <n v="62"/>
    <n v="0.47590463594126198"/>
  </r>
  <r>
    <s v="Hyd_John D'Costa (1008548)"/>
    <x v="33"/>
    <s v="08:09:47"/>
    <d v="1899-12-30T08:09:47"/>
    <d v="1899-12-30T01:09:36"/>
    <n v="61"/>
    <n v="0.55636846224520997"/>
  </r>
  <r>
    <s v="Hyd_Julie S (1008549)"/>
    <x v="34"/>
    <s v="08:15:46"/>
    <d v="1899-12-30T08:15:46"/>
    <d v="1899-12-30T01:10:44"/>
    <n v="60"/>
    <n v="0.527970147246689"/>
  </r>
  <r>
    <s v="Hyd_Jyoti Tulsani (1008550)"/>
    <x v="35"/>
    <s v="08:15:19"/>
    <d v="1899-12-30T08:15:19"/>
    <d v="1899-12-30T01:10:27"/>
    <n v="59"/>
    <n v="0.565025741108382"/>
  </r>
  <r>
    <s v="Hyd_Kahkasha Parveen (1008551)"/>
    <x v="36"/>
    <s v="08:17:24"/>
    <d v="1899-12-30T08:17:24"/>
    <d v="1899-12-30T01:10:12"/>
    <n v="58"/>
    <n v="0.48579278917035301"/>
  </r>
  <r>
    <s v="Hyd_Kailash Nath (1008552)"/>
    <x v="37"/>
    <s v="08:16:01"/>
    <d v="1899-12-30T08:16:01"/>
    <d v="1899-12-30T01:07:40"/>
    <n v="57"/>
    <n v="0.572258996673499"/>
  </r>
  <r>
    <s v="Hyd_Kalpana Agrawal (1008553)"/>
    <x v="38"/>
    <s v="08:00:08"/>
    <d v="1899-12-30T08:00:08"/>
    <d v="1899-12-30T02:24:54"/>
    <n v="56"/>
    <n v="0.46542627048042201"/>
  </r>
  <r>
    <s v="Hyd_Kamini Kumar (1008554)"/>
    <x v="39"/>
    <s v="05:01:37"/>
    <d v="1899-12-30T05:01:37"/>
    <d v="1899-12-30T00:15:00"/>
    <n v="55"/>
    <n v="0.64380836602751801"/>
  </r>
  <r>
    <s v="Hyd_Kamini Tiwari (1008555)"/>
    <x v="40"/>
    <s v="08:26:46"/>
    <d v="1899-12-30T08:26:46"/>
    <d v="1899-12-30T01:09:45"/>
    <n v="54"/>
    <n v="0.57347234098533195"/>
  </r>
  <r>
    <s v="Hyd_Kavita Sharma (1008556)"/>
    <x v="41"/>
    <s v="07:53:25"/>
    <d v="1899-12-30T07:53:25"/>
    <d v="1899-12-30T00:56:19"/>
    <n v="53"/>
    <n v="0.64717479317021698"/>
  </r>
  <r>
    <s v="Hyd_Kiran Khubchandani (1008557)"/>
    <x v="42"/>
    <s v="08:01:28"/>
    <d v="1899-12-30T08:01:28"/>
    <d v="1899-12-30T02:10:24"/>
    <n v="52"/>
    <n v="0.50443090556632497"/>
  </r>
  <r>
    <s v="Hyd_Kisun Sah (1008558)"/>
    <x v="43"/>
    <s v="08:21:34"/>
    <d v="1899-12-30T08:21:34"/>
    <d v="1899-12-30T01:09:28"/>
    <n v="51"/>
    <n v="0.55280122283511701"/>
  </r>
  <r>
    <s v="Hyd_Krishana Kumar (1008559)"/>
    <x v="44"/>
    <s v="08:15:28"/>
    <d v="1899-12-30T08:15:28"/>
    <d v="1899-12-30T01:09:45"/>
    <n v="50"/>
    <n v="0.55493137782561897"/>
  </r>
  <r>
    <s v="Hyd_Kunj Bihari (1008560)"/>
    <x v="45"/>
    <s v="07:59:19"/>
    <d v="1899-12-30T07:59:19"/>
    <d v="1899-12-30T01:10:11"/>
    <n v="49"/>
    <n v="0.55217497131332804"/>
  </r>
  <r>
    <s v="Hyd_Leena George (1008561)"/>
    <x v="46"/>
    <s v="04:56:13"/>
    <d v="1899-12-30T04:56:13"/>
    <d v="1899-12-30T00:18:10"/>
    <n v="48"/>
    <n v="0.58819557756147001"/>
  </r>
  <r>
    <s v="Hyd_Lilly Lucy (1008562)"/>
    <x v="47"/>
    <s v="07:45:23"/>
    <d v="1899-12-30T07:45:23"/>
    <d v="1899-12-30T01:14:44"/>
    <n v="47"/>
    <n v="0.55534863732407003"/>
  </r>
  <r>
    <s v="Hyd_Mangal Singh (1008563)"/>
    <x v="48"/>
    <s v="08:00:13"/>
    <d v="1899-12-30T08:00:13"/>
    <d v="1899-12-30T01:10:04"/>
    <n v="46"/>
    <n v="0.55815083469267301"/>
  </r>
  <r>
    <s v="Hyd_Manisha Shrivastava (1008564)"/>
    <x v="49"/>
    <s v="08:09:49"/>
    <d v="1899-12-30T08:09:49"/>
    <d v="1899-12-30T01:10:09"/>
    <n v="45"/>
    <n v="0.53002824185919895"/>
  </r>
  <r>
    <s v="Hyd_Manjusha Sinha (1008565)"/>
    <x v="50"/>
    <s v="08:14:05"/>
    <d v="1899-12-30T08:14:05"/>
    <d v="1899-12-30T01:10:39"/>
    <n v="44"/>
    <n v="0.54639905548996504"/>
  </r>
  <r>
    <s v="Hyd_ManjuTiwari Lab (1008566)"/>
    <x v="51"/>
    <s v="07:41:28"/>
    <d v="1899-12-30T07:41:28"/>
    <d v="1899-12-30T01:10:46"/>
    <n v="43"/>
    <n v="0.52849609939323905"/>
  </r>
  <r>
    <s v="Hyd_Manoj Kumar (1008567)"/>
    <x v="52"/>
    <s v="08:00:44"/>
    <d v="1899-12-30T08:00:44"/>
    <d v="1899-12-30T01:09:53"/>
    <n v="42"/>
    <n v="0.53279711551795905"/>
  </r>
  <r>
    <s v="Hyd_Manoj Kumar (1008568)"/>
    <x v="52"/>
    <s v="07:55:23"/>
    <d v="1899-12-30T07:55:23"/>
    <d v="1899-12-30T01:15:59"/>
    <n v="41"/>
    <n v="0.53150089401535605"/>
  </r>
  <r>
    <s v="Hyd_Masroor Adil (1008569)"/>
    <x v="53"/>
    <s v="08:10:04"/>
    <d v="1899-12-30T08:10:04"/>
    <d v="1899-12-30T01:11:39"/>
    <n v="40"/>
    <n v="0.58954564004897303"/>
  </r>
  <r>
    <s v="Hyd_Meena Zinjare (1008570)"/>
    <x v="54"/>
    <s v="08:05:29"/>
    <d v="1899-12-30T08:05:29"/>
    <d v="1899-12-30T03:34:45"/>
    <n v="39"/>
    <n v="0.34903360911806097"/>
  </r>
  <r>
    <s v="Hyd_Mehnaz Khan (1008571)"/>
    <x v="55"/>
    <s v="08:14:51"/>
    <d v="1899-12-30T08:14:51"/>
    <d v="1899-12-30T02:12:24"/>
    <n v="38"/>
    <n v="0.47933717288067101"/>
  </r>
  <r>
    <s v="Hyd_Mercy Thampi (1008572)"/>
    <x v="56"/>
    <s v="05:15:35"/>
    <d v="1899-12-30T05:15:35"/>
    <d v="1899-12-30T00:15:35"/>
    <n v="37"/>
    <n v="0.62762080802746201"/>
  </r>
  <r>
    <s v="Hyd_Miny Mole (1008573)"/>
    <x v="57"/>
    <s v="08:12:10"/>
    <d v="1899-12-30T08:12:10"/>
    <d v="1899-12-30T02:13:07"/>
    <n v="36"/>
    <n v="0.47561801557737898"/>
  </r>
  <r>
    <s v="Hyd_Mohd Rafi (1008574)"/>
    <x v="58"/>
    <s v="08:00:32"/>
    <d v="1899-12-30T08:00:32"/>
    <d v="1899-12-30T02:38:29"/>
    <n v="35"/>
    <n v="0.43635543840177599"/>
  </r>
  <r>
    <s v="Hyd_Mubeen Khan (1008575)"/>
    <x v="59"/>
    <s v="07:55:35"/>
    <d v="1899-12-30T07:55:35"/>
    <d v="1899-12-30T02:24:38"/>
    <n v="34"/>
    <n v="0.451270369721395"/>
  </r>
  <r>
    <s v="Hyd_Mukesh Nagar (1008576)"/>
    <x v="60"/>
    <s v="05:01:07"/>
    <d v="1899-12-30T05:01:07"/>
    <d v="1899-12-30T00:29:34"/>
    <n v="33"/>
    <n v="0.61244257486024201"/>
  </r>
  <r>
    <s v="Hyd_Nandu Kumar (1008577)"/>
    <x v="61"/>
    <s v="08:21:39"/>
    <d v="1899-12-30T08:21:39"/>
    <d v="1899-12-30T01:14:03"/>
    <n v="32"/>
    <n v="0.51755872288115901"/>
  </r>
  <r>
    <s v="Hyd_Narayan Singh (1008578)"/>
    <x v="62"/>
    <s v="08:19:29"/>
    <d v="1899-12-30T08:19:29"/>
    <d v="1899-12-30T01:08:27"/>
    <n v="31"/>
    <n v="0.55550735760285597"/>
  </r>
  <r>
    <s v="Hyd_Neeraj Saxena (1008579)"/>
    <x v="63"/>
    <s v="08:21:13"/>
    <d v="1899-12-30T08:21:13"/>
    <d v="1899-12-30T02:15:18"/>
    <n v="30"/>
    <n v="0.45535862734013899"/>
  </r>
  <r>
    <s v="Hyd_Neeru Mehta (1008580)"/>
    <x v="64"/>
    <s v="08:02:20"/>
    <d v="1899-12-30T08:02:20"/>
    <d v="1899-12-30T01:10:03"/>
    <n v="29"/>
    <n v="0.53445058742225304"/>
  </r>
  <r>
    <s v="Hyd_Nikita Panwalkar (1008581)"/>
    <x v="65"/>
    <s v="08:16:46"/>
    <d v="1899-12-30T08:16:46"/>
    <d v="1899-12-30T01:37:25"/>
    <n v="28"/>
    <n v="0.55914916459773201"/>
  </r>
  <r>
    <s v="Hyd_Nitin Bhatia (1008582)"/>
    <x v="66"/>
    <s v="08:00:37"/>
    <d v="1899-12-30T08:00:37"/>
    <d v="1899-12-30T01:09:53"/>
    <n v="29"/>
    <n v="0.56847106148351101"/>
  </r>
  <r>
    <s v="Hyd_Om Prakash (1008583)"/>
    <x v="67"/>
    <s v="07:55:44"/>
    <d v="1899-12-30T07:55:44"/>
    <d v="1899-12-30T01:36:03"/>
    <n v="30"/>
    <n v="0.47509108744394601"/>
  </r>
  <r>
    <s v="Hyd_Omprakash O (1008584)"/>
    <x v="68"/>
    <s v="08:09:43"/>
    <d v="1899-12-30T08:09:43"/>
    <d v="1899-12-30T02:11:54"/>
    <n v="31"/>
    <n v="0.47578531804104401"/>
  </r>
  <r>
    <s v="Hyd_Owais Mohd (1008585)"/>
    <x v="69"/>
    <s v="08:01:11"/>
    <d v="1899-12-30T08:01:11"/>
    <d v="1899-12-30T02:26:26"/>
    <n v="32"/>
    <n v="0.46898271622042897"/>
  </r>
  <r>
    <s v="Hyd_Pankaj Shelkey (1008586)"/>
    <x v="70"/>
    <s v="08:15:54"/>
    <d v="1899-12-30T08:15:54"/>
    <d v="1899-12-30T01:55:26"/>
    <n v="33"/>
    <n v="0.51361161524500898"/>
  </r>
  <r>
    <s v="Hyd_Partha Sarathi (1008587)"/>
    <x v="71"/>
    <s v="08:32:22"/>
    <d v="1899-12-30T08:32:22"/>
    <d v="1899-12-30T01:38:42"/>
    <n v="34"/>
    <n v="0.525112224318522"/>
  </r>
  <r>
    <s v="Hyd_Prabha Desikan (1008588)"/>
    <x v="72"/>
    <s v="08:21:49"/>
    <d v="1899-12-30T08:21:49"/>
    <d v="1899-12-30T04:11:26"/>
    <n v="35"/>
    <n v="0.348600086352918"/>
  </r>
  <r>
    <s v="Hyd_Pramod Tiwari (1008589)"/>
    <x v="73"/>
    <s v="08:25:20"/>
    <d v="1899-12-30T08:25:20"/>
    <d v="1899-12-30T04:21:06"/>
    <n v="36"/>
    <n v="0.314709762532982"/>
  </r>
  <r>
    <s v="Hyd_Prasannakumari S (1008590)"/>
    <x v="74"/>
    <s v="08:08:02"/>
    <d v="1899-12-30T08:08:02"/>
    <d v="1899-12-30T01:10:25"/>
    <n v="37"/>
    <n v="0.55600710333993597"/>
  </r>
  <r>
    <s v="Hyd_Praveen Kumar (1008591)"/>
    <x v="75"/>
    <s v="08:19:20"/>
    <d v="1899-12-30T08:19:20"/>
    <d v="1899-12-30T02:37:28"/>
    <n v="38"/>
    <n v="0.46221628838451301"/>
  </r>
  <r>
    <s v="Hyd_Rachel Mathew (1008592)"/>
    <x v="76"/>
    <s v="08:25:36"/>
    <d v="1899-12-30T08:25:36"/>
    <d v="1899-12-30T03:20:01"/>
    <n v="39"/>
    <n v="0.39075685654008402"/>
  </r>
  <r>
    <s v="Hyd_Rachita Anupam (1008593)"/>
    <x v="77"/>
    <s v="08:16:26"/>
    <d v="1899-12-30T08:16:26"/>
    <d v="1899-12-30T01:08:32"/>
    <n v="40"/>
    <n v="0.54713623850130899"/>
  </r>
  <r>
    <s v="Hyd_Rachna Chauhan (1008594)"/>
    <x v="78"/>
    <s v="07:36:07"/>
    <d v="1899-12-30T07:36:07"/>
    <d v="1899-12-30T00:30:20"/>
    <n v="41"/>
    <n v="0.61457229509993805"/>
  </r>
  <r>
    <s v="Hyd_Raj Kumar (1008595)"/>
    <x v="79"/>
    <s v="08:09:57"/>
    <d v="1899-12-30T08:09:57"/>
    <d v="1899-12-30T01:08:44"/>
    <n v="42"/>
    <n v="0.55335578460387103"/>
  </r>
  <r>
    <s v="Hyd_Rajeev Garg (1008596)"/>
    <x v="80"/>
    <s v="08:04:00"/>
    <d v="1899-12-30T08:04:00"/>
    <d v="1899-12-30T01:08:24"/>
    <n v="43"/>
    <n v="0.611363636363636"/>
  </r>
  <r>
    <s v="Hyd_Rajeev Kumar (1008597)"/>
    <x v="81"/>
    <s v="07:59:43"/>
    <d v="1899-12-30T07:59:43"/>
    <d v="1899-12-30T01:37:06"/>
    <n v="44"/>
    <n v="0.51217732689434703"/>
  </r>
  <r>
    <s v="Hyd_Rajendra Gupta (1008598)"/>
    <x v="82"/>
    <s v="08:25:57"/>
    <d v="1899-12-30T08:25:57"/>
    <d v="1899-12-30T01:19:08"/>
    <n v="45"/>
    <n v="0.56029910728991705"/>
  </r>
  <r>
    <s v="Hyd_Rajendra Kumar (1008599)"/>
    <x v="83"/>
    <s v="08:14:44"/>
    <d v="1899-12-30T08:14:44"/>
    <d v="1899-12-30T02:34:16"/>
    <n v="46"/>
    <n v="0.42891793558819602"/>
  </r>
  <r>
    <s v="Hyd_Rajendra Prasad (1008600)"/>
    <x v="84"/>
    <s v="08:22:34"/>
    <d v="1899-12-30T08:22:34"/>
    <d v="1899-12-30T07:08:19"/>
    <n v="47"/>
    <n v="9.4547987000066294E-2"/>
  </r>
  <r>
    <s v="Hyd_Rajesh Kumar (1008601)"/>
    <x v="85"/>
    <s v="08:00:39"/>
    <d v="1899-12-30T08:00:39"/>
    <d v="1899-12-30T01:12:04"/>
    <n v="48"/>
    <n v="0.61021533340268397"/>
  </r>
  <r>
    <s v="Hyd_Rajesh Kumar (1008602)"/>
    <x v="85"/>
    <s v="08:17:39"/>
    <d v="1899-12-30T08:17:39"/>
    <d v="1899-12-30T02:06:35"/>
    <n v="49"/>
    <n v="0.51260926353863201"/>
  </r>
  <r>
    <s v="Hyd_Rajesh Sharma (1008603)"/>
    <x v="86"/>
    <s v="05:04:31"/>
    <d v="1899-12-30T05:04:31"/>
    <d v="1899-12-30T00:24:27"/>
    <n v="50"/>
    <n v="0.62426796562859199"/>
  </r>
  <r>
    <s v="Hyd_Raji Abraham (1008604)"/>
    <x v="87"/>
    <s v="08:10:41"/>
    <d v="1899-12-30T08:10:41"/>
    <d v="1899-12-30T01:09:28"/>
    <n v="51"/>
    <n v="0.54373153085832704"/>
  </r>
  <r>
    <s v="Hyd_Rajshree Dhabekar (1008605)"/>
    <x v="88"/>
    <s v="08:15:13"/>
    <d v="1899-12-30T08:15:13"/>
    <d v="1899-12-30T08:15:09"/>
    <n v="52"/>
    <n v="0"/>
  </r>
  <r>
    <s v="Hyd_Rakhi Jodhani (1008606)"/>
    <x v="89"/>
    <s v="08:02:52"/>
    <d v="1899-12-30T08:02:52"/>
    <d v="1899-12-30T06:39:44"/>
    <n v="53"/>
    <n v="0.14431174927516199"/>
  </r>
  <r>
    <s v="Hyd_Ramji Prasad (1008607)"/>
    <x v="90"/>
    <s v="08:19:26"/>
    <d v="1899-12-30T08:19:26"/>
    <d v="1899-12-30T01:13:46"/>
    <n v="54"/>
    <n v="0.55259293866381898"/>
  </r>
  <r>
    <s v="Del_Rashid (1008608)"/>
    <x v="91"/>
    <s v="08:02:10"/>
    <d v="1899-12-30T08:02:10"/>
    <d v="1899-12-30T05:45:13"/>
    <n v="55"/>
    <n v="0.18938817836156199"/>
  </r>
  <r>
    <s v="Del_Rashmi Gajbe (1008609)"/>
    <x v="92"/>
    <s v="08:20:42"/>
    <d v="1899-12-30T08:20:42"/>
    <d v="1899-12-30T02:04:58"/>
    <n v="56"/>
    <n v="0.47077424938419499"/>
  </r>
  <r>
    <s v="Del_Ravi Kumar (1008610)"/>
    <x v="93"/>
    <s v="08:00:44"/>
    <d v="1899-12-30T08:00:44"/>
    <d v="1899-12-30T01:11:14"/>
    <n v="57"/>
    <n v="0.53862155040909698"/>
  </r>
  <r>
    <s v="Del_Ravinder Kaur (1008611)"/>
    <x v="94"/>
    <s v="08:01:53"/>
    <d v="1899-12-30T08:01:53"/>
    <d v="1899-12-30T01:09:28"/>
    <n v="58"/>
    <n v="0.53294365856189296"/>
  </r>
  <r>
    <s v="Del_Rekha Agarwal (1008612)"/>
    <x v="95"/>
    <s v="05:53:52"/>
    <d v="1899-12-30T05:53:52"/>
    <d v="1899-12-30T02:41:42"/>
    <n v="59"/>
    <n v="0.41310286360211002"/>
  </r>
  <r>
    <s v="Del_Rekha Gupta (1008613)"/>
    <x v="96"/>
    <s v="08:16:02"/>
    <d v="1899-12-30T08:16:02"/>
    <d v="1899-12-30T01:50:37"/>
    <n v="60"/>
    <n v="0.50483838451717"/>
  </r>
  <r>
    <s v="Del_Rekha Jain  (1008614)"/>
    <x v="97"/>
    <s v="08:15:42"/>
    <d v="1899-12-30T08:15:42"/>
    <d v="1899-12-30T01:36:57"/>
    <n v="61"/>
    <n v="0.52390558805729304"/>
  </r>
  <r>
    <s v="Del_Renu Pratap (1008615)"/>
    <x v="98"/>
    <s v="08:16:30"/>
    <d v="1899-12-30T08:16:30"/>
    <d v="1899-12-30T05:07:55"/>
    <n v="62"/>
    <n v="0.25444780127559602"/>
  </r>
  <r>
    <s v="Del_Ritu Bhatnagar (1008616)"/>
    <x v="99"/>
    <s v="08:01:48"/>
    <d v="1899-12-30T08:01:48"/>
    <d v="1899-12-30T01:13:20"/>
    <n v="63"/>
    <n v="0.55517503805174995"/>
  </r>
  <r>
    <s v="Del_Rohit Nishchal (1008617)"/>
    <x v="100"/>
    <s v="08:17:09"/>
    <d v="1899-12-30T08:17:09"/>
    <d v="1899-12-30T08:17:00"/>
    <n v="64"/>
    <n v="0"/>
  </r>
  <r>
    <s v="Del_Roli Bhatnagar (1008618)"/>
    <x v="101"/>
    <s v="08:15:43"/>
    <d v="1899-12-30T08:15:43"/>
    <d v="1899-12-30T02:10:16"/>
    <n v="65"/>
    <n v="0.477120667047709"/>
  </r>
  <r>
    <s v="Del_Roma Rastogi (1008619)"/>
    <x v="102"/>
    <s v="08:31:02"/>
    <d v="1899-12-30T08:31:02"/>
    <d v="1899-12-30T00:53:47"/>
    <n v="66"/>
    <n v="0.61917030852521004"/>
  </r>
  <r>
    <s v="Del_Roohi Haider (1008620)"/>
    <x v="103"/>
    <s v="08:00:11"/>
    <d v="1899-12-30T08:00:11"/>
    <d v="1899-12-30T01:09:24"/>
    <n v="67"/>
    <n v="0.55305265350039901"/>
  </r>
  <r>
    <s v="Del_Sajid Naqvi (1008621)"/>
    <x v="104"/>
    <s v="08:15:48"/>
    <d v="1899-12-30T08:15:48"/>
    <d v="1899-12-30T01:08:40"/>
    <n v="68"/>
    <n v="0.56195374478956595"/>
  </r>
  <r>
    <s v="Del_Salim (1008622)"/>
    <x v="105"/>
    <s v="08:15:56"/>
    <d v="1899-12-30T08:15:56"/>
    <d v="1899-12-30T01:59:29"/>
    <n v="69"/>
    <n v="0.48780077967468699"/>
  </r>
  <r>
    <s v="Del_Sanjay Hire (1008623)"/>
    <x v="106"/>
    <s v="08:15:52"/>
    <d v="1899-12-30T08:15:52"/>
    <d v="1899-12-30T01:09:43"/>
    <n v="70"/>
    <n v="0.55414762032804499"/>
  </r>
  <r>
    <s v="Del_Sanjiv Subherwal (1008624)"/>
    <x v="107"/>
    <s v="08:02:17"/>
    <d v="1899-12-30T08:02:17"/>
    <d v="1899-12-30T01:10:15"/>
    <n v="71"/>
    <n v="0.58651553374572396"/>
  </r>
  <r>
    <s v="Del_Sanju Ramdas (1008625)"/>
    <x v="108"/>
    <s v="08:15:58"/>
    <d v="1899-12-30T08:15:58"/>
    <d v="1899-12-30T01:13:56"/>
    <n v="72"/>
    <n v="0.58165871362322696"/>
  </r>
  <r>
    <s v="Del_Santosh Kumar (1008626)"/>
    <x v="109"/>
    <s v="08:00:32"/>
    <d v="1899-12-30T08:00:32"/>
    <d v="1899-12-30T01:09:48"/>
    <n v="73"/>
    <n v="0.59073251942286398"/>
  </r>
  <r>
    <s v="Del_Santosh Kumar (1008627)"/>
    <x v="109"/>
    <s v="08:17:04"/>
    <d v="1899-12-30T08:17:04"/>
    <d v="1899-12-30T01:10:58"/>
    <n v="74"/>
    <n v="0.58640692060085797"/>
  </r>
  <r>
    <s v="Del_Santosh Kumar (1008628)"/>
    <x v="109"/>
    <s v="08:02:59"/>
    <d v="1899-12-30T08:02:59"/>
    <d v="1899-12-30T01:12:01"/>
    <n v="75"/>
    <n v="0.54653369681493502"/>
  </r>
  <r>
    <s v="Del_Sapna Sharma (1008629)"/>
    <x v="110"/>
    <s v="08:04:14"/>
    <d v="1899-12-30T08:04:14"/>
    <d v="1899-12-30T01:32:37"/>
    <n v="76"/>
    <n v="0.53238796723342696"/>
  </r>
  <r>
    <s v="Del_Saroj Parita (1008630)"/>
    <x v="111"/>
    <s v="08:01:59"/>
    <d v="1899-12-30T08:01:59"/>
    <d v="1899-12-30T01:45:37"/>
    <n v="77"/>
    <n v="0.47020989660776702"/>
  </r>
  <r>
    <s v="Del_Shailaja Kamal (1008631)"/>
    <x v="112"/>
    <s v="08:09:14"/>
    <d v="1899-12-30T08:09:14"/>
    <d v="1899-12-30T01:08:46"/>
    <n v="78"/>
    <n v="0.54633099407235797"/>
  </r>
  <r>
    <s v="Del_Shailendra Barge (1008632)"/>
    <x v="113"/>
    <s v="08:17:38"/>
    <d v="1899-12-30T08:17:38"/>
    <d v="1899-12-30T03:43:06"/>
    <n v="79"/>
    <n v="0.38820416638756799"/>
  </r>
  <r>
    <s v="Del_Shankar Attendant (1008633)"/>
    <x v="114"/>
    <s v="07:57:56"/>
    <d v="1899-12-30T07:57:56"/>
    <d v="1899-12-30T03:15:05"/>
    <n v="80"/>
    <n v="0.40277584042404802"/>
  </r>
  <r>
    <s v="Del_Shashikant Tiwari (1008634)"/>
    <x v="115"/>
    <s v="08:14:55"/>
    <d v="1899-12-30T08:14:55"/>
    <d v="1899-12-30T01:09:59"/>
    <n v="81"/>
    <n v="0.54352584610203702"/>
  </r>
  <r>
    <s v="Del_Sheeba Joseph (1008635)"/>
    <x v="116"/>
    <s v="08:30:57"/>
    <d v="1899-12-30T08:30:57"/>
    <d v="1899-12-30T00:55:39"/>
    <n v="82"/>
    <n v="0.28371986821932998"/>
  </r>
  <r>
    <s v="Del_Sheena Joseph (1008636)"/>
    <x v="117"/>
    <s v="08:49:34"/>
    <d v="1899-12-30T08:49:34"/>
    <d v="1899-12-30T01:41:30"/>
    <n v="83"/>
    <n v="0.56196890539434796"/>
  </r>
  <r>
    <s v="Del_Shephali Jain (1008637)"/>
    <x v="118"/>
    <s v="08:25:43"/>
    <d v="1899-12-30T08:25:43"/>
    <d v="1899-12-30T03:23:49"/>
    <n v="84"/>
    <n v="0.40332201825791802"/>
  </r>
  <r>
    <s v="Del_Shivji Prasad (1008638)"/>
    <x v="119"/>
    <s v="08:11:40"/>
    <d v="1899-12-30T08:11:40"/>
    <d v="1899-12-30T02:17:48"/>
    <n v="85"/>
    <n v="0.43796610169491501"/>
  </r>
  <r>
    <s v="Del_Shubhanjali Joshi (1008639)"/>
    <x v="120"/>
    <s v="08:17:17"/>
    <d v="1899-12-30T08:17:17"/>
    <d v="1899-12-30T01:19:32"/>
    <n v="86"/>
    <n v="0.55581995508931903"/>
  </r>
  <r>
    <s v="Del_Shyamal Malakar (1008640)"/>
    <x v="121"/>
    <s v="08:15:36"/>
    <d v="1899-12-30T08:15:36"/>
    <d v="1899-12-30T04:35:37"/>
    <n v="87"/>
    <n v="0.326035781544256"/>
  </r>
  <r>
    <s v="Del_Sneh Khan (1008641)"/>
    <x v="122"/>
    <s v="08:09:15"/>
    <d v="1899-12-30T08:09:15"/>
    <d v="1899-12-30T01:09:51"/>
    <n v="88"/>
    <n v="0.57404190086867701"/>
  </r>
  <r>
    <s v="Del_Sonaram Munda (1008642)"/>
    <x v="123"/>
    <s v="08:00:41"/>
    <d v="1899-12-30T08:00:41"/>
    <d v="1899-12-30T01:57:15"/>
    <n v="89"/>
    <n v="0.45359037481363301"/>
  </r>
  <r>
    <s v="Del_Sudama Kumar (1008643)"/>
    <x v="124"/>
    <s v="08:09:47"/>
    <d v="1899-12-30T08:09:47"/>
    <d v="1899-12-30T04:36:20"/>
    <n v="90"/>
    <n v="0.29689998979140397"/>
  </r>
  <r>
    <s v="Del_Sudhir Kumar (1008644)"/>
    <x v="125"/>
    <s v="08:00:18"/>
    <d v="1899-12-30T08:00:18"/>
    <d v="1899-12-30T01:14:24"/>
    <n v="91"/>
    <n v="0.55729058227496697"/>
  </r>
  <r>
    <s v="Del_Sunil Kumar (1008645)"/>
    <x v="126"/>
    <s v="08:03:26"/>
    <d v="1899-12-30T08:03:26"/>
    <d v="1899-12-30T03:56:57"/>
    <n v="92"/>
    <n v="0.33279321519685601"/>
  </r>
  <r>
    <s v="Del_Sunil Kumar (1008646)"/>
    <x v="126"/>
    <s v="08:05:06"/>
    <d v="1899-12-30T08:05:06"/>
    <d v="1899-12-30T02:16:51"/>
    <n v="93"/>
    <n v="0.472308115165258"/>
  </r>
  <r>
    <s v="Del_Sunita Chawla (1008647)"/>
    <x v="127"/>
    <s v="08:05:25"/>
    <d v="1899-12-30T08:05:25"/>
    <d v="1899-12-30T02:06:43"/>
    <n v="94"/>
    <n v="0.51110729613733896"/>
  </r>
  <r>
    <s v="Del_Sunita Madnani (1008648)"/>
    <x v="128"/>
    <s v="08:14:02"/>
    <d v="1899-12-30T08:14:02"/>
    <d v="1899-12-30T01:08:15"/>
    <n v="95"/>
    <n v="0.58886040078267299"/>
  </r>
  <r>
    <s v="Del_Surendra Kumar (1008649)"/>
    <x v="129"/>
    <s v="07:29:10"/>
    <d v="1899-12-30T07:29:10"/>
    <d v="1899-12-30T03:46:52"/>
    <n v="96"/>
    <n v="0.34289424860853401"/>
  </r>
  <r>
    <s v="Del_Surendranath Thakur (1008650)"/>
    <x v="130"/>
    <s v="08:33:53"/>
    <d v="1899-12-30T08:33:53"/>
    <d v="1899-12-30T02:17:05"/>
    <n v="97"/>
    <n v="0.497486459313074"/>
  </r>
  <r>
    <s v="Del_Sushma Khandelwal (1008651)"/>
    <x v="131"/>
    <s v="08:15:15"/>
    <d v="1899-12-30T08:15:15"/>
    <d v="1899-12-30T01:10:21"/>
    <n v="98"/>
    <n v="0.52431431936732298"/>
  </r>
  <r>
    <s v="Del_Swarnlata Borse (1008652)"/>
    <x v="132"/>
    <s v="08:19:05"/>
    <d v="1899-12-30T08:19:05"/>
    <d v="1899-12-30T04:32:37"/>
    <n v="99"/>
    <n v="0.31066956086157999"/>
  </r>
  <r>
    <s v="Del_Syed Naved (1008653)"/>
    <x v="133"/>
    <s v="08:13:39"/>
    <d v="1899-12-30T08:13:39"/>
    <d v="1899-12-30T01:14:44"/>
    <n v="100"/>
    <n v="0.58462473412336702"/>
  </r>
  <r>
    <s v="Del_Syed Saqib (1008654)"/>
    <x v="134"/>
    <s v="08:24:48"/>
    <d v="1899-12-30T08:24:48"/>
    <d v="1899-12-30T05:03:34"/>
    <n v="101"/>
    <n v="0.31685816164817698"/>
  </r>
  <r>
    <s v="Del_Syed Sohail (1008655)"/>
    <x v="135"/>
    <s v="08:17:53"/>
    <d v="1899-12-30T08:17:53"/>
    <d v="1899-12-30T01:12:04"/>
    <n v="102"/>
    <n v="0.56375322197301903"/>
  </r>
  <r>
    <s v="Del_System Operator (1008656)"/>
    <x v="136"/>
    <s v="08:30:54"/>
    <d v="1899-12-30T08:30:54"/>
    <d v="1899-12-30T00:56:05"/>
    <n v="103"/>
    <n v="0.54779147908918902"/>
  </r>
  <r>
    <s v="Del_Tahira Qureshi (1008657)"/>
    <x v="137"/>
    <s v="08:46:13"/>
    <d v="1899-12-30T08:46:13"/>
    <d v="1899-12-30T04:02:30"/>
    <n v="104"/>
    <n v="0.37965983593576802"/>
  </r>
  <r>
    <s v="Del_Tapas Chakraborty (1008658)"/>
    <x v="138"/>
    <s v="08:14:56"/>
    <d v="1899-12-30T08:14:56"/>
    <d v="1899-12-30T01:12:11"/>
    <n v="105"/>
    <n v="0.56529498922413801"/>
  </r>
  <r>
    <s v="Del_Tariq Akhlaq (1008659)"/>
    <x v="139"/>
    <s v="04:59:55"/>
    <d v="1899-12-30T04:59:55"/>
    <d v="1899-12-30T00:15:03"/>
    <n v="106"/>
    <n v="0.60261183662128404"/>
  </r>
  <r>
    <s v="Del_Tasneem Khan (1008660)"/>
    <x v="140"/>
    <s v="08:33:55"/>
    <d v="1899-12-30T08:33:55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1CF5A9-6E28-4832-94C2-6D2E9A05CF2E}" name="PivotTable1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A3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dataField="1" numFmtId="165" showAll="0"/>
    <pivotField numFmtId="165" showAll="0"/>
    <pivotField showAll="0"/>
    <pivotField numFmtId="10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Work Efficiency" fld="3" baseField="1" baseItem="15" numFmtId="165"/>
  </dataFields>
  <formats count="4">
    <format dxfId="3">
      <pivotArea field="1" type="button" dataOnly="0" labelOnly="1" outline="0" axis="axisRow" fieldPosition="0"/>
    </format>
    <format dxfId="2">
      <pivotArea dataOnly="0" labelOnly="1" outline="0" axis="axisValues" fieldPosition="0"/>
    </format>
    <format dxfId="1">
      <pivotArea field="1" type="button" dataOnly="0" labelOnly="1" outline="0" axis="axisRow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1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A37DA8-A8CF-4B45-84CF-770B7F6D8042}" name="PivotTable3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G3:H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numFmtId="165" showAll="0"/>
    <pivotField numFmtId="165" showAll="0"/>
    <pivotField dataField="1" showAll="0"/>
    <pivotField numFmtId="10" showAll="0"/>
  </pivotFields>
  <rowFields count="1">
    <field x="1"/>
  </rowFields>
  <rowItems count="7">
    <i>
      <x v="15"/>
    </i>
    <i>
      <x v="109"/>
    </i>
    <i>
      <x v="126"/>
    </i>
    <i>
      <x v="137"/>
    </i>
    <i>
      <x v="138"/>
    </i>
    <i>
      <x v="139"/>
    </i>
    <i>
      <x v="140"/>
    </i>
  </rowItems>
  <colItems count="1">
    <i/>
  </colItems>
  <dataFields count="1">
    <dataField name="Sum of Attended Calls" fld="5" baseField="0" baseItem="0"/>
  </dataFields>
  <formats count="4">
    <format dxfId="7">
      <pivotArea field="1" type="button" dataOnly="0" labelOnly="1" outline="0" axis="axisRow" fieldPosition="0"/>
    </format>
    <format dxfId="6">
      <pivotArea dataOnly="0" labelOnly="1" outline="0" axis="axisValues" fieldPosition="0"/>
    </format>
    <format dxfId="5">
      <pivotArea field="1" type="button" dataOnly="0" labelOnly="1" outline="0" axis="axisRow" fieldPosition="0"/>
    </format>
    <format dxfId="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2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FC8230-5865-43D8-8291-8D1E0363CEFA}" name="PivotTable2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D3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numFmtId="165" showAll="0"/>
    <pivotField numFmtId="165" showAll="0"/>
    <pivotField showAll="0"/>
    <pivotField dataField="1" numFmtId="10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omer" fld="6" baseField="1" baseItem="0" numFmtId="10"/>
  </dataFields>
  <formats count="4">
    <format dxfId="11">
      <pivotArea field="1" type="button" dataOnly="0" labelOnly="1" outline="0" axis="axisRow" fieldPosition="0"/>
    </format>
    <format dxfId="10">
      <pivotArea dataOnly="0" labelOnly="1" outline="0" axis="axisValues" fieldPosition="0"/>
    </format>
    <format dxfId="9">
      <pivotArea field="1" type="button" dataOnly="0" labelOnly="1" outline="0" axis="axisRow" fieldPosition="0"/>
    </format>
    <format dxfId="8">
      <pivotArea dataOnly="0" outline="0" axis="axisValues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3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EBBD7-CFFB-4816-8919-3A7F9327F64F}">
  <sheetPr codeName="Sheet1"/>
  <dimension ref="A1:I150"/>
  <sheetViews>
    <sheetView topLeftCell="B1" zoomScale="145" zoomScaleNormal="145" workbookViewId="0">
      <selection activeCell="C17" sqref="C17"/>
    </sheetView>
  </sheetViews>
  <sheetFormatPr defaultRowHeight="15" x14ac:dyDescent="0.25"/>
  <cols>
    <col min="1" max="1" width="31.7109375" bestFit="1" customWidth="1"/>
    <col min="2" max="2" width="10.42578125" customWidth="1"/>
    <col min="3" max="3" width="16.28515625" customWidth="1"/>
    <col min="4" max="4" width="12.85546875" customWidth="1"/>
    <col min="5" max="5" width="11.42578125" customWidth="1"/>
    <col min="6" max="6" width="12.5703125" customWidth="1"/>
    <col min="7" max="7" width="19" customWidth="1"/>
    <col min="8" max="8" width="14.28515625" customWidth="1"/>
    <col min="9" max="9" width="17.710937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25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25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25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25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25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25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25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25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25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25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25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25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25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25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25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25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25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25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25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25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25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25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25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25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25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25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25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25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25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25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25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25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25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25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25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25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25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25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25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25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25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25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25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25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25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25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25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25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25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25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25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25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25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25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25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25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25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25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25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25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25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25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25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25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25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25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25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25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25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25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25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25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25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25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25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25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25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25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25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25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25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25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25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25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25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25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25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25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25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25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25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25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25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25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25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25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25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25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25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25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25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25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25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25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25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25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25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25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25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25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25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25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25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25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25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25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25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25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25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25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25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25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25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25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25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25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25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25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25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25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25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25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25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25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25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25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25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25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25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25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25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25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25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25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25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25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25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25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88585-5435-4A18-814E-DAD09111E520}">
  <sheetPr codeName="Sheet4"/>
  <dimension ref="A1:G150"/>
  <sheetViews>
    <sheetView zoomScale="130" zoomScaleNormal="130" workbookViewId="0">
      <selection activeCell="A8" sqref="A1:G150"/>
    </sheetView>
  </sheetViews>
  <sheetFormatPr defaultRowHeight="15" x14ac:dyDescent="0.25"/>
  <cols>
    <col min="1" max="1" width="34.85546875" bestFit="1" customWidth="1"/>
    <col min="2" max="2" width="21.85546875" customWidth="1"/>
    <col min="3" max="3" width="29.28515625" customWidth="1"/>
    <col min="4" max="4" width="22.85546875" customWidth="1"/>
    <col min="5" max="5" width="21.85546875" customWidth="1"/>
    <col min="6" max="6" width="21.5703125" customWidth="1"/>
    <col min="7" max="7" width="25.42578125" customWidth="1"/>
  </cols>
  <sheetData>
    <row r="1" spans="1:7" ht="21" customHeight="1" x14ac:dyDescent="0.25">
      <c r="A1" s="7" t="s">
        <v>0</v>
      </c>
      <c r="B1" s="7" t="s">
        <v>1001</v>
      </c>
      <c r="C1" s="7" t="s">
        <v>1002</v>
      </c>
      <c r="D1" s="7" t="s">
        <v>1003</v>
      </c>
      <c r="E1" s="7" t="s">
        <v>8</v>
      </c>
      <c r="F1" s="7" t="s">
        <v>598</v>
      </c>
      <c r="G1" s="7" t="s">
        <v>1004</v>
      </c>
    </row>
    <row r="2" spans="1:7" x14ac:dyDescent="0.25">
      <c r="A2" t="str">
        <f>Sheet1!A2</f>
        <v>Mum_Abdul Hamid (1008512)</v>
      </c>
      <c r="B2" t="str">
        <f>MID(A2, FIND("_", A2, 1)+1,FIND("(",A2,1)- FIND("_", A2, 1)-2)</f>
        <v>Abdul Hamid</v>
      </c>
      <c r="C2" s="8" t="s">
        <v>612</v>
      </c>
      <c r="D2" s="9">
        <f t="shared" ref="D2:D33" si="0">TIMEVALUE(VLOOKUP(A2,she, 2,0))</f>
        <v>0.34424768518518517</v>
      </c>
      <c r="E2" s="9">
        <f t="shared" ref="E2:E33" si="1">TIMEVALUE(VLOOKUP(A2,sh,9,0))</f>
        <v>4.7708333333333332E-2</v>
      </c>
      <c r="F2" s="10">
        <f t="shared" ref="F2:F33" si="2">VLOOKUP(A2, shee, 2,0)</f>
        <v>98</v>
      </c>
      <c r="G2" s="11">
        <f t="shared" ref="G2:G33" si="3">VLOOKUP(A2, she, 6, 0)</f>
        <v>0.55697138822580095</v>
      </c>
    </row>
    <row r="3" spans="1:7" x14ac:dyDescent="0.25">
      <c r="A3" t="str">
        <f>Sheet1!A3</f>
        <v>Mum_Afzal Husain (1008513)</v>
      </c>
      <c r="B3" t="str">
        <f t="shared" ref="B3:B66" si="4">MID(A3, FIND("_", A3, 1)+1,FIND("(",A3,1)- FIND("_", A3, 1)-2)</f>
        <v>Afzal Husain</v>
      </c>
      <c r="C3" s="8" t="s">
        <v>614</v>
      </c>
      <c r="D3" s="9">
        <f t="shared" si="0"/>
        <v>0.34416666666666668</v>
      </c>
      <c r="E3" s="9">
        <f t="shared" si="1"/>
        <v>4.8599537037037038E-2</v>
      </c>
      <c r="F3" s="10">
        <f t="shared" si="2"/>
        <v>23</v>
      </c>
      <c r="G3" s="11">
        <f t="shared" si="3"/>
        <v>0.58027306967984904</v>
      </c>
    </row>
    <row r="4" spans="1:7" x14ac:dyDescent="0.25">
      <c r="A4" t="str">
        <f>Sheet1!A4</f>
        <v>Mum_Anamika Gupta (1008514)</v>
      </c>
      <c r="B4" t="str">
        <f t="shared" si="4"/>
        <v>Anamika Gupta</v>
      </c>
      <c r="C4" s="8" t="s">
        <v>616</v>
      </c>
      <c r="D4" s="9">
        <f t="shared" si="0"/>
        <v>0.34510416666666671</v>
      </c>
      <c r="E4" s="9">
        <f t="shared" si="1"/>
        <v>5.1319444444444445E-2</v>
      </c>
      <c r="F4" s="10">
        <f t="shared" si="2"/>
        <v>28</v>
      </c>
      <c r="G4" s="11">
        <f t="shared" si="3"/>
        <v>0.51708756749505302</v>
      </c>
    </row>
    <row r="5" spans="1:7" x14ac:dyDescent="0.25">
      <c r="A5" t="str">
        <f>Sheet1!A5</f>
        <v>Mum_Anikuttan (1008515)</v>
      </c>
      <c r="B5" t="str">
        <f t="shared" si="4"/>
        <v>Anikuttan</v>
      </c>
      <c r="C5" s="8" t="s">
        <v>618</v>
      </c>
      <c r="D5" s="9">
        <f t="shared" si="0"/>
        <v>0.34023148148148147</v>
      </c>
      <c r="E5" s="9">
        <f t="shared" si="1"/>
        <v>9.6550925925925915E-2</v>
      </c>
      <c r="F5" s="10">
        <f t="shared" si="2"/>
        <v>29</v>
      </c>
      <c r="G5" s="11">
        <f t="shared" si="3"/>
        <v>0.47720778337188702</v>
      </c>
    </row>
    <row r="6" spans="1:7" x14ac:dyDescent="0.25">
      <c r="A6" t="str">
        <f>Sheet1!A6</f>
        <v>Mum_Anil Kumar (1008516)</v>
      </c>
      <c r="B6" t="str">
        <f t="shared" si="4"/>
        <v>Anil Kumar</v>
      </c>
      <c r="C6" s="8" t="s">
        <v>620</v>
      </c>
      <c r="D6" s="9">
        <f t="shared" si="0"/>
        <v>0.30603009259259256</v>
      </c>
      <c r="E6" s="9">
        <f t="shared" si="1"/>
        <v>0.12844907407407408</v>
      </c>
      <c r="F6" s="10">
        <f t="shared" si="2"/>
        <v>93</v>
      </c>
      <c r="G6" s="11">
        <f t="shared" si="3"/>
        <v>0.43288831738587802</v>
      </c>
    </row>
    <row r="7" spans="1:7" x14ac:dyDescent="0.25">
      <c r="A7" t="str">
        <f>Sheet1!A7</f>
        <v>Mum_Anita Dixit (1008517)</v>
      </c>
      <c r="B7" t="str">
        <f t="shared" si="4"/>
        <v>Anita Dixit</v>
      </c>
      <c r="C7" s="8" t="s">
        <v>622</v>
      </c>
      <c r="D7" s="9">
        <f t="shared" si="0"/>
        <v>0.20843750000000003</v>
      </c>
      <c r="E7" s="9">
        <f t="shared" si="1"/>
        <v>1.8831018518518518E-2</v>
      </c>
      <c r="F7" s="10">
        <f t="shared" si="2"/>
        <v>92</v>
      </c>
      <c r="G7" s="11">
        <f t="shared" si="3"/>
        <v>0.65495030262646503</v>
      </c>
    </row>
    <row r="8" spans="1:7" x14ac:dyDescent="0.25">
      <c r="A8" t="str">
        <f>Sheet1!A8</f>
        <v>Mum_Anita Ghore (1008518)</v>
      </c>
      <c r="B8" t="str">
        <f t="shared" si="4"/>
        <v>Anita Ghore</v>
      </c>
      <c r="C8" s="8" t="s">
        <v>624</v>
      </c>
      <c r="D8" s="9">
        <f t="shared" si="0"/>
        <v>0.34488425925925931</v>
      </c>
      <c r="E8" s="9">
        <f t="shared" si="1"/>
        <v>0.11229166666666668</v>
      </c>
      <c r="F8" s="10">
        <f t="shared" si="2"/>
        <v>26</v>
      </c>
      <c r="G8" s="11">
        <f t="shared" si="3"/>
        <v>0.49476474931203401</v>
      </c>
    </row>
    <row r="9" spans="1:7" x14ac:dyDescent="0.25">
      <c r="A9" t="str">
        <f>Sheet1!A9</f>
        <v>Mum_Anjali Deoram (1008519)</v>
      </c>
      <c r="B9" t="str">
        <f t="shared" si="4"/>
        <v>Anjali Deoram</v>
      </c>
      <c r="C9" s="8" t="s">
        <v>626</v>
      </c>
      <c r="D9" s="9">
        <f t="shared" si="0"/>
        <v>0.38646990740740739</v>
      </c>
      <c r="E9" s="9">
        <f t="shared" si="1"/>
        <v>5.0810185185185187E-2</v>
      </c>
      <c r="F9" s="10">
        <f t="shared" si="2"/>
        <v>90</v>
      </c>
      <c r="G9" s="11">
        <f t="shared" si="3"/>
        <v>0.55128627474469205</v>
      </c>
    </row>
    <row r="10" spans="1:7" x14ac:dyDescent="0.25">
      <c r="A10" t="str">
        <f>Sheet1!A10</f>
        <v>Mum_Anjali Sahay (1008520)</v>
      </c>
      <c r="B10" t="str">
        <f t="shared" si="4"/>
        <v>Anjali Sahay</v>
      </c>
      <c r="C10" s="8" t="s">
        <v>628</v>
      </c>
      <c r="D10" s="9">
        <f t="shared" si="0"/>
        <v>0.34256944444444448</v>
      </c>
      <c r="E10" s="9">
        <f t="shared" si="1"/>
        <v>4.628472222222222E-2</v>
      </c>
      <c r="F10" s="10">
        <f t="shared" si="2"/>
        <v>89</v>
      </c>
      <c r="G10" s="11">
        <f t="shared" si="3"/>
        <v>0.55206432867085597</v>
      </c>
    </row>
    <row r="11" spans="1:7" x14ac:dyDescent="0.25">
      <c r="A11" t="str">
        <f>Sheet1!A11</f>
        <v>Mum_Annu Latika (1008521)</v>
      </c>
      <c r="B11" t="str">
        <f t="shared" si="4"/>
        <v>Annu Latika</v>
      </c>
      <c r="C11" s="8" t="s">
        <v>630</v>
      </c>
      <c r="D11" s="9">
        <f t="shared" si="0"/>
        <v>0.34769675925925925</v>
      </c>
      <c r="E11" s="9">
        <f t="shared" si="1"/>
        <v>4.8576388888888884E-2</v>
      </c>
      <c r="F11" s="10">
        <f t="shared" si="2"/>
        <v>54</v>
      </c>
      <c r="G11" s="11">
        <f t="shared" si="3"/>
        <v>0.56868945774108703</v>
      </c>
    </row>
    <row r="12" spans="1:7" x14ac:dyDescent="0.25">
      <c r="A12" t="str">
        <f>Sheet1!A12</f>
        <v>Mum_Anoop Narayan (1008522)</v>
      </c>
      <c r="B12" t="str">
        <f t="shared" si="4"/>
        <v>Anoop Narayan</v>
      </c>
      <c r="C12" s="8" t="s">
        <v>632</v>
      </c>
      <c r="D12" s="9">
        <f t="shared" si="0"/>
        <v>0.34068287037037037</v>
      </c>
      <c r="E12" s="9">
        <f t="shared" si="1"/>
        <v>4.809027777777778E-2</v>
      </c>
      <c r="F12" s="10">
        <f t="shared" si="2"/>
        <v>87</v>
      </c>
      <c r="G12" s="11">
        <f t="shared" si="3"/>
        <v>0.56035332087650802</v>
      </c>
    </row>
    <row r="13" spans="1:7" x14ac:dyDescent="0.25">
      <c r="A13" t="str">
        <f>Sheet1!A13</f>
        <v>Mum_Anoop Raj (1008523)</v>
      </c>
      <c r="B13" t="str">
        <f t="shared" si="4"/>
        <v>Anoop Raj</v>
      </c>
      <c r="C13" s="8" t="s">
        <v>634</v>
      </c>
      <c r="D13" s="9">
        <f t="shared" si="0"/>
        <v>0.33622685185185186</v>
      </c>
      <c r="E13" s="9">
        <f t="shared" si="1"/>
        <v>0.12590277777777778</v>
      </c>
      <c r="F13" s="10">
        <f t="shared" si="2"/>
        <v>65</v>
      </c>
      <c r="G13" s="11">
        <f t="shared" si="3"/>
        <v>0.41552495697073999</v>
      </c>
    </row>
    <row r="14" spans="1:7" x14ac:dyDescent="0.25">
      <c r="A14" t="str">
        <f>Sheet1!A14</f>
        <v>Mum_Anubhuti Gupta (1008524)</v>
      </c>
      <c r="B14" t="str">
        <f t="shared" si="4"/>
        <v>Anubhuti Gupta</v>
      </c>
      <c r="C14" s="8" t="s">
        <v>636</v>
      </c>
      <c r="D14" s="9">
        <f t="shared" si="0"/>
        <v>0.34349537037037042</v>
      </c>
      <c r="E14" s="9">
        <f t="shared" si="1"/>
        <v>8.7974537037037046E-2</v>
      </c>
      <c r="F14" s="10">
        <f t="shared" si="2"/>
        <v>85</v>
      </c>
      <c r="G14" s="11">
        <f t="shared" si="3"/>
        <v>0.50026955994339195</v>
      </c>
    </row>
    <row r="15" spans="1:7" x14ac:dyDescent="0.25">
      <c r="A15" t="str">
        <f>Sheet1!A15</f>
        <v>Mum_Arun Kumar (1008525)</v>
      </c>
      <c r="B15" t="str">
        <f t="shared" si="4"/>
        <v>Arun Kumar</v>
      </c>
      <c r="C15" s="8" t="s">
        <v>638</v>
      </c>
      <c r="D15" s="9">
        <f t="shared" si="0"/>
        <v>0.33321759259259259</v>
      </c>
      <c r="E15" s="9">
        <f t="shared" si="1"/>
        <v>4.9004629629629627E-2</v>
      </c>
      <c r="F15" s="10">
        <f t="shared" si="2"/>
        <v>65</v>
      </c>
      <c r="G15" s="11">
        <f t="shared" si="3"/>
        <v>0.51396318166029897</v>
      </c>
    </row>
    <row r="16" spans="1:7" x14ac:dyDescent="0.25">
      <c r="A16" t="str">
        <f>Sheet1!A16</f>
        <v>Mum_Ashish Kumar (1008526)</v>
      </c>
      <c r="B16" t="str">
        <f t="shared" si="4"/>
        <v>Ashish Kumar</v>
      </c>
      <c r="C16" s="8" t="s">
        <v>640</v>
      </c>
      <c r="D16" s="9">
        <f t="shared" si="0"/>
        <v>0.34512731481481485</v>
      </c>
      <c r="E16" s="9">
        <f t="shared" si="1"/>
        <v>5.3460648148148153E-2</v>
      </c>
      <c r="F16" s="10">
        <f t="shared" si="2"/>
        <v>83</v>
      </c>
      <c r="G16" s="11">
        <f t="shared" si="3"/>
        <v>0.510580502364264</v>
      </c>
    </row>
    <row r="17" spans="1:7" x14ac:dyDescent="0.25">
      <c r="A17" t="str">
        <f>Sheet1!A17</f>
        <v>Mum_Ashok Kumar (1008527)</v>
      </c>
      <c r="B17" t="str">
        <f t="shared" si="4"/>
        <v>Ashok Kumar</v>
      </c>
      <c r="C17" s="8" t="s">
        <v>642</v>
      </c>
      <c r="D17" s="9">
        <f t="shared" si="0"/>
        <v>0.34531249999999997</v>
      </c>
      <c r="E17" s="9">
        <f t="shared" si="1"/>
        <v>0.10023148148148148</v>
      </c>
      <c r="F17" s="10">
        <f t="shared" si="2"/>
        <v>82</v>
      </c>
      <c r="G17" s="11">
        <f t="shared" si="3"/>
        <v>0.48292274174627098</v>
      </c>
    </row>
    <row r="18" spans="1:7" x14ac:dyDescent="0.25">
      <c r="A18" t="str">
        <f>Sheet1!A18</f>
        <v>Hyd_Ashok Kumar (1008528)</v>
      </c>
      <c r="B18" t="str">
        <f t="shared" si="4"/>
        <v>Ashok Kumar</v>
      </c>
      <c r="C18" s="8" t="s">
        <v>644</v>
      </c>
      <c r="D18" s="9">
        <f t="shared" si="0"/>
        <v>0.32848379629629632</v>
      </c>
      <c r="E18" s="9">
        <f t="shared" si="1"/>
        <v>3.9224537037037037E-2</v>
      </c>
      <c r="F18" s="10">
        <f t="shared" si="2"/>
        <v>81</v>
      </c>
      <c r="G18" s="11">
        <f t="shared" si="3"/>
        <v>0.57362319861879396</v>
      </c>
    </row>
    <row r="19" spans="1:7" x14ac:dyDescent="0.25">
      <c r="A19" t="str">
        <f>Sheet1!A19</f>
        <v>Hyd_Ashok Kumar (1008529)</v>
      </c>
      <c r="B19" t="str">
        <f t="shared" si="4"/>
        <v>Ashok Kumar</v>
      </c>
      <c r="C19" s="8" t="s">
        <v>646</v>
      </c>
      <c r="D19" s="9">
        <f t="shared" si="0"/>
        <v>0.34494212962962961</v>
      </c>
      <c r="E19" s="9">
        <f t="shared" si="1"/>
        <v>4.8692129629629627E-2</v>
      </c>
      <c r="F19" s="10">
        <f t="shared" si="2"/>
        <v>80</v>
      </c>
      <c r="G19" s="11">
        <f t="shared" si="3"/>
        <v>0.56430560681810604</v>
      </c>
    </row>
    <row r="20" spans="1:7" x14ac:dyDescent="0.25">
      <c r="A20" t="str">
        <f>Sheet1!A20</f>
        <v>Hyd_Ashok Kumar (1008530)</v>
      </c>
      <c r="B20" t="str">
        <f t="shared" si="4"/>
        <v>Ashok Kumar</v>
      </c>
      <c r="C20" s="8" t="s">
        <v>647</v>
      </c>
      <c r="D20" s="9">
        <f t="shared" si="0"/>
        <v>0.34810185185185188</v>
      </c>
      <c r="E20" s="9">
        <f t="shared" si="1"/>
        <v>0.11122685185185184</v>
      </c>
      <c r="F20" s="10">
        <f t="shared" si="2"/>
        <v>79</v>
      </c>
      <c r="G20" s="11">
        <f t="shared" si="3"/>
        <v>0.46974331693044302</v>
      </c>
    </row>
    <row r="21" spans="1:7" x14ac:dyDescent="0.25">
      <c r="A21" t="str">
        <f>Sheet1!A21</f>
        <v>Hyd_Ashok Mahto (1008531)</v>
      </c>
      <c r="B21" t="str">
        <f t="shared" si="4"/>
        <v>Ashok Mahto</v>
      </c>
      <c r="C21" s="8" t="s">
        <v>649</v>
      </c>
      <c r="D21" s="9">
        <f t="shared" si="0"/>
        <v>0.34574074074074074</v>
      </c>
      <c r="E21" s="9">
        <f t="shared" si="1"/>
        <v>5.1736111111111115E-2</v>
      </c>
      <c r="F21" s="10">
        <f t="shared" si="2"/>
        <v>78</v>
      </c>
      <c r="G21" s="11">
        <f t="shared" si="3"/>
        <v>0.57495313336904097</v>
      </c>
    </row>
    <row r="22" spans="1:7" x14ac:dyDescent="0.25">
      <c r="A22" t="str">
        <f>Sheet1!A22</f>
        <v>Hyd_Atul Kumar (1008532)</v>
      </c>
      <c r="B22" t="str">
        <f t="shared" si="4"/>
        <v>Atul Kumar</v>
      </c>
      <c r="C22" s="8" t="s">
        <v>651</v>
      </c>
      <c r="D22" s="9">
        <f t="shared" si="0"/>
        <v>0.3428356481481481</v>
      </c>
      <c r="E22" s="9">
        <f t="shared" si="1"/>
        <v>4.6516203703703705E-2</v>
      </c>
      <c r="F22" s="10">
        <f t="shared" si="2"/>
        <v>77</v>
      </c>
      <c r="G22" s="11">
        <f t="shared" si="3"/>
        <v>0.57945376590932096</v>
      </c>
    </row>
    <row r="23" spans="1:7" x14ac:dyDescent="0.25">
      <c r="A23" t="str">
        <f>Sheet1!A23</f>
        <v>Hyd_Azam (1008533)</v>
      </c>
      <c r="B23" t="str">
        <f t="shared" si="4"/>
        <v>Azam</v>
      </c>
      <c r="C23" s="8" t="s">
        <v>653</v>
      </c>
      <c r="D23" s="9">
        <f t="shared" si="0"/>
        <v>0.34553240740740737</v>
      </c>
      <c r="E23" s="9">
        <f t="shared" si="1"/>
        <v>4.8460648148148149E-2</v>
      </c>
      <c r="F23" s="10">
        <f t="shared" si="2"/>
        <v>76</v>
      </c>
      <c r="G23" s="11">
        <f t="shared" si="3"/>
        <v>0.588296375695049</v>
      </c>
    </row>
    <row r="24" spans="1:7" x14ac:dyDescent="0.25">
      <c r="A24" t="str">
        <f>Sheet1!A24</f>
        <v>Hyd_Bhagwat Singh (1008534)</v>
      </c>
      <c r="B24" t="str">
        <f t="shared" si="4"/>
        <v>Bhagwat Singh</v>
      </c>
      <c r="C24" s="8" t="s">
        <v>655</v>
      </c>
      <c r="D24" s="9">
        <f t="shared" si="0"/>
        <v>0.32064814814814818</v>
      </c>
      <c r="E24" s="9">
        <f t="shared" si="1"/>
        <v>9.0486111111111114E-2</v>
      </c>
      <c r="F24" s="10">
        <f t="shared" si="2"/>
        <v>75</v>
      </c>
      <c r="G24" s="11">
        <f t="shared" si="3"/>
        <v>0.46267686976609901</v>
      </c>
    </row>
    <row r="25" spans="1:7" x14ac:dyDescent="0.25">
      <c r="A25" t="str">
        <f>Sheet1!A25</f>
        <v>Hyd_Bindu Nair (1008535)</v>
      </c>
      <c r="B25" t="str">
        <f t="shared" si="4"/>
        <v>Bindu Nair</v>
      </c>
      <c r="C25" s="8" t="s">
        <v>657</v>
      </c>
      <c r="D25" s="9">
        <f t="shared" si="0"/>
        <v>0.34032407407407406</v>
      </c>
      <c r="E25" s="9">
        <f t="shared" si="1"/>
        <v>9.116898148148149E-2</v>
      </c>
      <c r="F25" s="10">
        <f t="shared" si="2"/>
        <v>74</v>
      </c>
      <c r="G25" s="11">
        <f t="shared" si="3"/>
        <v>0.478030199972793</v>
      </c>
    </row>
    <row r="26" spans="1:7" x14ac:dyDescent="0.25">
      <c r="A26" t="str">
        <f>Sheet1!A26</f>
        <v>Hyd_Daleep Singh (1008536)</v>
      </c>
      <c r="B26" t="str">
        <f t="shared" si="4"/>
        <v>Daleep Singh</v>
      </c>
      <c r="C26" s="8" t="s">
        <v>659</v>
      </c>
      <c r="D26" s="9">
        <f t="shared" si="0"/>
        <v>0.34328703703703706</v>
      </c>
      <c r="E26" s="9">
        <f t="shared" si="1"/>
        <v>5.0625000000000003E-2</v>
      </c>
      <c r="F26" s="10">
        <f t="shared" si="2"/>
        <v>73</v>
      </c>
      <c r="G26" s="11">
        <f t="shared" si="3"/>
        <v>0.59983142279163904</v>
      </c>
    </row>
    <row r="27" spans="1:7" x14ac:dyDescent="0.25">
      <c r="A27" t="str">
        <f>Sheet1!A27</f>
        <v>Hyd_Deepak Kumar (1008537)</v>
      </c>
      <c r="B27" t="str">
        <f t="shared" si="4"/>
        <v>Deepak Kumar</v>
      </c>
      <c r="C27" s="8" t="s">
        <v>661</v>
      </c>
      <c r="D27" s="9">
        <f t="shared" si="0"/>
        <v>0.31663194444444448</v>
      </c>
      <c r="E27" s="9">
        <f t="shared" si="1"/>
        <v>2.1180555555555553E-2</v>
      </c>
      <c r="F27" s="10">
        <f t="shared" si="2"/>
        <v>72</v>
      </c>
      <c r="G27" s="11">
        <f t="shared" si="3"/>
        <v>0.65029060203969702</v>
      </c>
    </row>
    <row r="28" spans="1:7" x14ac:dyDescent="0.25">
      <c r="A28" t="str">
        <f>Sheet1!A28</f>
        <v>Hyd_Deepika Nigam (1008538)</v>
      </c>
      <c r="B28" t="str">
        <f t="shared" si="4"/>
        <v>Deepika Nigam</v>
      </c>
      <c r="C28" s="8" t="s">
        <v>640</v>
      </c>
      <c r="D28" s="9">
        <f t="shared" si="0"/>
        <v>0.34512731481481485</v>
      </c>
      <c r="E28" s="9">
        <f t="shared" si="1"/>
        <v>4.9768518518518517E-2</v>
      </c>
      <c r="F28" s="10">
        <f t="shared" si="2"/>
        <v>71</v>
      </c>
      <c r="G28" s="11">
        <f t="shared" si="3"/>
        <v>0.55001844461584903</v>
      </c>
    </row>
    <row r="29" spans="1:7" x14ac:dyDescent="0.25">
      <c r="A29" t="str">
        <f>Sheet1!A29</f>
        <v>Hyd_Dinesh Kumar (1008539)</v>
      </c>
      <c r="B29" t="str">
        <f t="shared" si="4"/>
        <v>Dinesh Kumar</v>
      </c>
      <c r="C29" s="8" t="s">
        <v>664</v>
      </c>
      <c r="D29" s="9">
        <f t="shared" si="0"/>
        <v>0.34297453703703701</v>
      </c>
      <c r="E29" s="9">
        <f t="shared" si="1"/>
        <v>4.8645833333333333E-2</v>
      </c>
      <c r="F29" s="10">
        <f t="shared" si="2"/>
        <v>70</v>
      </c>
      <c r="G29" s="11">
        <f t="shared" si="3"/>
        <v>0.51334660682347399</v>
      </c>
    </row>
    <row r="30" spans="1:7" x14ac:dyDescent="0.25">
      <c r="A30" t="str">
        <f>Sheet1!A30</f>
        <v>Hyd_Hari Kumar (1008540)</v>
      </c>
      <c r="B30" t="str">
        <f t="shared" si="4"/>
        <v>Hari Kumar</v>
      </c>
      <c r="C30" s="8" t="s">
        <v>666</v>
      </c>
      <c r="D30" s="9">
        <f t="shared" si="0"/>
        <v>0.34387731481481482</v>
      </c>
      <c r="E30" s="9">
        <f t="shared" si="1"/>
        <v>0.11449074074074074</v>
      </c>
      <c r="F30" s="10">
        <f t="shared" si="2"/>
        <v>69</v>
      </c>
      <c r="G30" s="11">
        <f t="shared" si="3"/>
        <v>0.43603379219817601</v>
      </c>
    </row>
    <row r="31" spans="1:7" x14ac:dyDescent="0.25">
      <c r="A31" t="str">
        <f>Sheet1!A31</f>
        <v>Hyd_Heeramani Choudhary (1008541)</v>
      </c>
      <c r="B31" t="str">
        <f t="shared" si="4"/>
        <v>Heeramani Choudhary</v>
      </c>
      <c r="C31" s="8" t="s">
        <v>668</v>
      </c>
      <c r="D31" s="9">
        <f t="shared" si="0"/>
        <v>0.31069444444444444</v>
      </c>
      <c r="E31" s="9">
        <f t="shared" si="1"/>
        <v>5.5787037037037031E-2</v>
      </c>
      <c r="F31" s="10">
        <f t="shared" si="2"/>
        <v>68</v>
      </c>
      <c r="G31" s="11">
        <f t="shared" si="3"/>
        <v>0.52954105200417201</v>
      </c>
    </row>
    <row r="32" spans="1:7" x14ac:dyDescent="0.25">
      <c r="A32" t="str">
        <f>Sheet1!A32</f>
        <v>Hyd_Indra Pal (1008542)</v>
      </c>
      <c r="B32" t="str">
        <f t="shared" si="4"/>
        <v>Indra Pal</v>
      </c>
      <c r="C32" s="8" t="s">
        <v>670</v>
      </c>
      <c r="D32" s="9">
        <f t="shared" si="0"/>
        <v>0.33329861111111109</v>
      </c>
      <c r="E32" s="9">
        <f t="shared" si="1"/>
        <v>4.809027777777778E-2</v>
      </c>
      <c r="F32" s="10">
        <f t="shared" si="2"/>
        <v>67</v>
      </c>
      <c r="G32" s="11">
        <f t="shared" si="3"/>
        <v>0.56446852102649603</v>
      </c>
    </row>
    <row r="33" spans="1:7" x14ac:dyDescent="0.25">
      <c r="A33" t="str">
        <f>Sheet1!A33</f>
        <v>Hyd_Indra Singh (1008543)</v>
      </c>
      <c r="B33" t="str">
        <f t="shared" si="4"/>
        <v>Indra Singh</v>
      </c>
      <c r="C33" s="8" t="s">
        <v>672</v>
      </c>
      <c r="D33" s="9">
        <f t="shared" si="0"/>
        <v>0.34564814814814815</v>
      </c>
      <c r="E33" s="9">
        <f t="shared" si="1"/>
        <v>8.9745370370370378E-2</v>
      </c>
      <c r="F33" s="10">
        <f t="shared" si="2"/>
        <v>66</v>
      </c>
      <c r="G33" s="11">
        <f t="shared" si="3"/>
        <v>0.49789043664612898</v>
      </c>
    </row>
    <row r="34" spans="1:7" x14ac:dyDescent="0.25">
      <c r="A34" t="str">
        <f>Sheet1!A34</f>
        <v>Hyd_Jagdish Chandra (1008544)</v>
      </c>
      <c r="B34" t="str">
        <f t="shared" si="4"/>
        <v>Jagdish Chandra</v>
      </c>
      <c r="C34" s="8" t="s">
        <v>674</v>
      </c>
      <c r="D34" s="9">
        <f t="shared" ref="D34:D65" si="5">TIMEVALUE(VLOOKUP(A34,she, 2,0))</f>
        <v>0.34664351851851855</v>
      </c>
      <c r="E34" s="9">
        <f t="shared" ref="E34:E65" si="6">TIMEVALUE(VLOOKUP(A34,sh,9,0))</f>
        <v>4.7951388888888891E-2</v>
      </c>
      <c r="F34" s="10">
        <f t="shared" ref="F34:F65" si="7">VLOOKUP(A34, shee, 2,0)</f>
        <v>65</v>
      </c>
      <c r="G34" s="11">
        <f t="shared" ref="G34:G65" si="8">VLOOKUP(A34, she, 6, 0)</f>
        <v>0.56270450751252099</v>
      </c>
    </row>
    <row r="35" spans="1:7" x14ac:dyDescent="0.25">
      <c r="A35" t="str">
        <f>Sheet1!A35</f>
        <v>Hyd_Jairaj Vatham (1008545)</v>
      </c>
      <c r="B35" t="str">
        <f t="shared" si="4"/>
        <v>Jairaj Vatham</v>
      </c>
      <c r="C35" s="8" t="s">
        <v>676</v>
      </c>
      <c r="D35" s="9">
        <f t="shared" si="5"/>
        <v>0.34471064814814811</v>
      </c>
      <c r="E35" s="9">
        <f t="shared" si="6"/>
        <v>4.8564814814814818E-2</v>
      </c>
      <c r="F35" s="10">
        <f t="shared" si="7"/>
        <v>64</v>
      </c>
      <c r="G35" s="11">
        <f t="shared" si="8"/>
        <v>0.57680556021891705</v>
      </c>
    </row>
    <row r="36" spans="1:7" x14ac:dyDescent="0.25">
      <c r="A36" t="str">
        <f>Sheet1!A36</f>
        <v>Hyd_Janardan Mishra (1008546)</v>
      </c>
      <c r="B36" t="str">
        <f t="shared" si="4"/>
        <v>Janardan Mishra</v>
      </c>
      <c r="C36" s="8" t="s">
        <v>678</v>
      </c>
      <c r="D36" s="9">
        <f t="shared" si="5"/>
        <v>0.31923611111111111</v>
      </c>
      <c r="E36" s="9">
        <f t="shared" si="6"/>
        <v>6.1215277777777778E-2</v>
      </c>
      <c r="F36" s="10">
        <f t="shared" si="7"/>
        <v>63</v>
      </c>
      <c r="G36" s="11">
        <f t="shared" si="8"/>
        <v>0.55728373576970502</v>
      </c>
    </row>
    <row r="37" spans="1:7" x14ac:dyDescent="0.25">
      <c r="A37" t="str">
        <f>Sheet1!A37</f>
        <v>Hyd_Jitendra Kumar (1008547)</v>
      </c>
      <c r="B37" t="str">
        <f t="shared" si="4"/>
        <v>Jitendra Kumar</v>
      </c>
      <c r="C37" s="8" t="s">
        <v>680</v>
      </c>
      <c r="D37" s="9">
        <f t="shared" si="5"/>
        <v>0.34128472222222223</v>
      </c>
      <c r="E37" s="9">
        <f t="shared" si="6"/>
        <v>0.10777777777777779</v>
      </c>
      <c r="F37" s="10">
        <f t="shared" si="7"/>
        <v>62</v>
      </c>
      <c r="G37" s="11">
        <f t="shared" si="8"/>
        <v>0.47590463594126198</v>
      </c>
    </row>
    <row r="38" spans="1:7" x14ac:dyDescent="0.25">
      <c r="A38" t="str">
        <f>Sheet1!A38</f>
        <v>Hyd_John D'Costa (1008548)</v>
      </c>
      <c r="B38" t="str">
        <f t="shared" si="4"/>
        <v>John D'Costa</v>
      </c>
      <c r="C38" s="8" t="s">
        <v>682</v>
      </c>
      <c r="D38" s="9">
        <f t="shared" si="5"/>
        <v>0.34012731481481479</v>
      </c>
      <c r="E38" s="9">
        <f t="shared" si="6"/>
        <v>4.8333333333333332E-2</v>
      </c>
      <c r="F38" s="10">
        <f t="shared" si="7"/>
        <v>61</v>
      </c>
      <c r="G38" s="11">
        <f t="shared" si="8"/>
        <v>0.55636846224520997</v>
      </c>
    </row>
    <row r="39" spans="1:7" x14ac:dyDescent="0.25">
      <c r="A39" t="str">
        <f>Sheet1!A39</f>
        <v>Hyd_Julie S (1008549)</v>
      </c>
      <c r="B39" t="str">
        <f t="shared" si="4"/>
        <v>Julie S</v>
      </c>
      <c r="C39" s="8" t="s">
        <v>684</v>
      </c>
      <c r="D39" s="9">
        <f t="shared" si="5"/>
        <v>0.3442824074074074</v>
      </c>
      <c r="E39" s="9">
        <f t="shared" si="6"/>
        <v>4.912037037037037E-2</v>
      </c>
      <c r="F39" s="10">
        <f t="shared" si="7"/>
        <v>60</v>
      </c>
      <c r="G39" s="11">
        <f t="shared" si="8"/>
        <v>0.527970147246689</v>
      </c>
    </row>
    <row r="40" spans="1:7" x14ac:dyDescent="0.25">
      <c r="A40" t="str">
        <f>Sheet1!A40</f>
        <v>Hyd_Jyoti Tulsani (1008550)</v>
      </c>
      <c r="B40" t="str">
        <f t="shared" si="4"/>
        <v>Jyoti Tulsani</v>
      </c>
      <c r="C40" s="8" t="s">
        <v>686</v>
      </c>
      <c r="D40" s="9">
        <f t="shared" si="5"/>
        <v>0.3439699074074074</v>
      </c>
      <c r="E40" s="9">
        <f t="shared" si="6"/>
        <v>4.8923611111111105E-2</v>
      </c>
      <c r="F40" s="10">
        <f t="shared" si="7"/>
        <v>59</v>
      </c>
      <c r="G40" s="11">
        <f t="shared" si="8"/>
        <v>0.565025741108382</v>
      </c>
    </row>
    <row r="41" spans="1:7" x14ac:dyDescent="0.25">
      <c r="A41" t="str">
        <f>Sheet1!A41</f>
        <v>Hyd_Kahkasha Parveen (1008551)</v>
      </c>
      <c r="B41" t="str">
        <f t="shared" si="4"/>
        <v>Kahkasha Parveen</v>
      </c>
      <c r="C41" s="8" t="s">
        <v>688</v>
      </c>
      <c r="D41" s="9">
        <f t="shared" si="5"/>
        <v>0.34541666666666665</v>
      </c>
      <c r="E41" s="9">
        <f t="shared" si="6"/>
        <v>4.8749999999999995E-2</v>
      </c>
      <c r="F41" s="10">
        <f t="shared" si="7"/>
        <v>58</v>
      </c>
      <c r="G41" s="11">
        <f t="shared" si="8"/>
        <v>0.48579278917035301</v>
      </c>
    </row>
    <row r="42" spans="1:7" x14ac:dyDescent="0.25">
      <c r="A42" t="str">
        <f>Sheet1!A42</f>
        <v>Hyd_Kailash Nath (1008552)</v>
      </c>
      <c r="B42" t="str">
        <f t="shared" si="4"/>
        <v>Kailash Nath</v>
      </c>
      <c r="C42" s="8" t="s">
        <v>690</v>
      </c>
      <c r="D42" s="9">
        <f t="shared" si="5"/>
        <v>0.34445601851851854</v>
      </c>
      <c r="E42" s="9">
        <f t="shared" si="6"/>
        <v>4.6990740740740743E-2</v>
      </c>
      <c r="F42" s="10">
        <f t="shared" si="7"/>
        <v>57</v>
      </c>
      <c r="G42" s="11">
        <f t="shared" si="8"/>
        <v>0.572258996673499</v>
      </c>
    </row>
    <row r="43" spans="1:7" x14ac:dyDescent="0.25">
      <c r="A43" t="str">
        <f>Sheet1!A43</f>
        <v>Hyd_Kalpana Agrawal (1008553)</v>
      </c>
      <c r="B43" t="str">
        <f t="shared" si="4"/>
        <v>Kalpana Agrawal</v>
      </c>
      <c r="C43" s="8" t="s">
        <v>692</v>
      </c>
      <c r="D43" s="9">
        <f t="shared" si="5"/>
        <v>0.33342592592592596</v>
      </c>
      <c r="E43" s="9">
        <f t="shared" si="6"/>
        <v>0.10062500000000001</v>
      </c>
      <c r="F43" s="10">
        <f t="shared" si="7"/>
        <v>56</v>
      </c>
      <c r="G43" s="11">
        <f t="shared" si="8"/>
        <v>0.46542627048042201</v>
      </c>
    </row>
    <row r="44" spans="1:7" x14ac:dyDescent="0.25">
      <c r="A44" t="str">
        <f>Sheet1!A44</f>
        <v>Hyd_Kamini Kumar (1008554)</v>
      </c>
      <c r="B44" t="str">
        <f t="shared" si="4"/>
        <v>Kamini Kumar</v>
      </c>
      <c r="C44" s="8" t="s">
        <v>694</v>
      </c>
      <c r="D44" s="9">
        <f t="shared" si="5"/>
        <v>0.2094560185185185</v>
      </c>
      <c r="E44" s="9">
        <f t="shared" si="6"/>
        <v>1.0416666666666666E-2</v>
      </c>
      <c r="F44" s="10">
        <f t="shared" si="7"/>
        <v>55</v>
      </c>
      <c r="G44" s="11">
        <f t="shared" si="8"/>
        <v>0.64380836602751801</v>
      </c>
    </row>
    <row r="45" spans="1:7" x14ac:dyDescent="0.25">
      <c r="A45" t="str">
        <f>Sheet1!A45</f>
        <v>Hyd_Kamini Tiwari (1008555)</v>
      </c>
      <c r="B45" t="str">
        <f t="shared" si="4"/>
        <v>Kamini Tiwari</v>
      </c>
      <c r="C45" s="8" t="s">
        <v>696</v>
      </c>
      <c r="D45" s="9">
        <f t="shared" si="5"/>
        <v>0.35192129629629632</v>
      </c>
      <c r="E45" s="9">
        <f t="shared" si="6"/>
        <v>4.8437500000000001E-2</v>
      </c>
      <c r="F45" s="10">
        <f t="shared" si="7"/>
        <v>54</v>
      </c>
      <c r="G45" s="11">
        <f t="shared" si="8"/>
        <v>0.57347234098533195</v>
      </c>
    </row>
    <row r="46" spans="1:7" x14ac:dyDescent="0.25">
      <c r="A46" t="str">
        <f>Sheet1!A46</f>
        <v>Hyd_Kavita Sharma (1008556)</v>
      </c>
      <c r="B46" t="str">
        <f t="shared" si="4"/>
        <v>Kavita Sharma</v>
      </c>
      <c r="C46" s="8" t="s">
        <v>698</v>
      </c>
      <c r="D46" s="9">
        <f t="shared" si="5"/>
        <v>0.32876157407407408</v>
      </c>
      <c r="E46" s="9">
        <f t="shared" si="6"/>
        <v>3.9108796296296301E-2</v>
      </c>
      <c r="F46" s="10">
        <f t="shared" si="7"/>
        <v>53</v>
      </c>
      <c r="G46" s="11">
        <f t="shared" si="8"/>
        <v>0.64717479317021698</v>
      </c>
    </row>
    <row r="47" spans="1:7" x14ac:dyDescent="0.25">
      <c r="A47" t="str">
        <f>Sheet1!A47</f>
        <v>Hyd_Kiran Khubchandani (1008557)</v>
      </c>
      <c r="B47" t="str">
        <f t="shared" si="4"/>
        <v>Kiran Khubchandani</v>
      </c>
      <c r="C47" s="8" t="s">
        <v>700</v>
      </c>
      <c r="D47" s="9">
        <f t="shared" si="5"/>
        <v>0.33435185185185184</v>
      </c>
      <c r="E47" s="9">
        <f t="shared" si="6"/>
        <v>9.0555555555555556E-2</v>
      </c>
      <c r="F47" s="10">
        <f t="shared" si="7"/>
        <v>52</v>
      </c>
      <c r="G47" s="11">
        <f t="shared" si="8"/>
        <v>0.50443090556632497</v>
      </c>
    </row>
    <row r="48" spans="1:7" x14ac:dyDescent="0.25">
      <c r="A48" t="str">
        <f>Sheet1!A48</f>
        <v>Hyd_Kisun Sah (1008558)</v>
      </c>
      <c r="B48" t="str">
        <f t="shared" si="4"/>
        <v>Kisun Sah</v>
      </c>
      <c r="C48" s="8" t="s">
        <v>702</v>
      </c>
      <c r="D48" s="9">
        <f t="shared" si="5"/>
        <v>0.34831018518518514</v>
      </c>
      <c r="E48" s="9">
        <f t="shared" si="6"/>
        <v>4.8240740740740744E-2</v>
      </c>
      <c r="F48" s="10">
        <f t="shared" si="7"/>
        <v>51</v>
      </c>
      <c r="G48" s="11">
        <f t="shared" si="8"/>
        <v>0.55280122283511701</v>
      </c>
    </row>
    <row r="49" spans="1:7" x14ac:dyDescent="0.25">
      <c r="A49" t="str">
        <f>Sheet1!A49</f>
        <v>Hyd_Krishana Kumar (1008559)</v>
      </c>
      <c r="B49" t="str">
        <f t="shared" si="4"/>
        <v>Krishana Kumar</v>
      </c>
      <c r="C49" s="8" t="s">
        <v>704</v>
      </c>
      <c r="D49" s="9">
        <f t="shared" si="5"/>
        <v>0.34407407407407403</v>
      </c>
      <c r="E49" s="9">
        <f t="shared" si="6"/>
        <v>4.8437500000000001E-2</v>
      </c>
      <c r="F49" s="10">
        <f t="shared" si="7"/>
        <v>50</v>
      </c>
      <c r="G49" s="11">
        <f t="shared" si="8"/>
        <v>0.55493137782561897</v>
      </c>
    </row>
    <row r="50" spans="1:7" x14ac:dyDescent="0.25">
      <c r="A50" t="str">
        <f>Sheet1!A50</f>
        <v>Hyd_Kunj Bihari (1008560)</v>
      </c>
      <c r="B50" t="str">
        <f t="shared" si="4"/>
        <v>Kunj Bihari</v>
      </c>
      <c r="C50" s="8" t="s">
        <v>706</v>
      </c>
      <c r="D50" s="9">
        <f t="shared" si="5"/>
        <v>0.33285879629629628</v>
      </c>
      <c r="E50" s="9">
        <f t="shared" si="6"/>
        <v>4.8738425925925921E-2</v>
      </c>
      <c r="F50" s="10">
        <f t="shared" si="7"/>
        <v>49</v>
      </c>
      <c r="G50" s="11">
        <f t="shared" si="8"/>
        <v>0.55217497131332804</v>
      </c>
    </row>
    <row r="51" spans="1:7" x14ac:dyDescent="0.25">
      <c r="A51" t="str">
        <f>Sheet1!A51</f>
        <v>Hyd_Leena George (1008561)</v>
      </c>
      <c r="B51" t="str">
        <f t="shared" si="4"/>
        <v>Leena George</v>
      </c>
      <c r="C51" s="8" t="s">
        <v>708</v>
      </c>
      <c r="D51" s="9">
        <f t="shared" si="5"/>
        <v>0.20570601851851852</v>
      </c>
      <c r="E51" s="9">
        <f t="shared" si="6"/>
        <v>1.2615740740740742E-2</v>
      </c>
      <c r="F51" s="10">
        <f t="shared" si="7"/>
        <v>48</v>
      </c>
      <c r="G51" s="11">
        <f t="shared" si="8"/>
        <v>0.58819557756147001</v>
      </c>
    </row>
    <row r="52" spans="1:7" x14ac:dyDescent="0.25">
      <c r="A52" t="str">
        <f>Sheet1!A52</f>
        <v>Hyd_Lilly Lucy (1008562)</v>
      </c>
      <c r="B52" t="str">
        <f t="shared" si="4"/>
        <v>Lilly Lucy</v>
      </c>
      <c r="C52" s="8" t="s">
        <v>710</v>
      </c>
      <c r="D52" s="9">
        <f t="shared" si="5"/>
        <v>0.32318287037037036</v>
      </c>
      <c r="E52" s="9">
        <f t="shared" si="6"/>
        <v>5.1898148148148145E-2</v>
      </c>
      <c r="F52" s="10">
        <f t="shared" si="7"/>
        <v>47</v>
      </c>
      <c r="G52" s="11">
        <f t="shared" si="8"/>
        <v>0.55534863732407003</v>
      </c>
    </row>
    <row r="53" spans="1:7" x14ac:dyDescent="0.25">
      <c r="A53" t="str">
        <f>Sheet1!A53</f>
        <v>Hyd_Mangal Singh (1008563)</v>
      </c>
      <c r="B53" t="str">
        <f t="shared" si="4"/>
        <v>Mangal Singh</v>
      </c>
      <c r="C53" s="8" t="s">
        <v>712</v>
      </c>
      <c r="D53" s="9">
        <f t="shared" si="5"/>
        <v>0.33348379629629626</v>
      </c>
      <c r="E53" s="9">
        <f t="shared" si="6"/>
        <v>4.8657407407407406E-2</v>
      </c>
      <c r="F53" s="10">
        <f t="shared" si="7"/>
        <v>46</v>
      </c>
      <c r="G53" s="11">
        <f t="shared" si="8"/>
        <v>0.55815083469267301</v>
      </c>
    </row>
    <row r="54" spans="1:7" x14ac:dyDescent="0.25">
      <c r="A54" t="str">
        <f>Sheet1!A54</f>
        <v>Hyd_Manisha Shrivastava (1008564)</v>
      </c>
      <c r="B54" t="str">
        <f t="shared" si="4"/>
        <v>Manisha Shrivastava</v>
      </c>
      <c r="C54" s="8" t="s">
        <v>714</v>
      </c>
      <c r="D54" s="9">
        <f t="shared" si="5"/>
        <v>0.34015046296296297</v>
      </c>
      <c r="E54" s="9">
        <f t="shared" si="6"/>
        <v>4.8715277777777781E-2</v>
      </c>
      <c r="F54" s="10">
        <f t="shared" si="7"/>
        <v>45</v>
      </c>
      <c r="G54" s="11">
        <f t="shared" si="8"/>
        <v>0.53002824185919895</v>
      </c>
    </row>
    <row r="55" spans="1:7" x14ac:dyDescent="0.25">
      <c r="A55" t="str">
        <f>Sheet1!A55</f>
        <v>Hyd_Manjusha Sinha (1008565)</v>
      </c>
      <c r="B55" t="str">
        <f t="shared" si="4"/>
        <v>Manjusha Sinha</v>
      </c>
      <c r="C55" s="8" t="s">
        <v>716</v>
      </c>
      <c r="D55" s="9">
        <f t="shared" si="5"/>
        <v>0.34311342592592592</v>
      </c>
      <c r="E55" s="9">
        <f t="shared" si="6"/>
        <v>4.9062500000000002E-2</v>
      </c>
      <c r="F55" s="10">
        <f t="shared" si="7"/>
        <v>44</v>
      </c>
      <c r="G55" s="11">
        <f t="shared" si="8"/>
        <v>0.54639905548996504</v>
      </c>
    </row>
    <row r="56" spans="1:7" x14ac:dyDescent="0.25">
      <c r="A56" t="str">
        <f>Sheet1!A56</f>
        <v>Hyd_ManjuTiwari Lab (1008566)</v>
      </c>
      <c r="B56" t="str">
        <f t="shared" si="4"/>
        <v>ManjuTiwari Lab</v>
      </c>
      <c r="C56" s="8" t="s">
        <v>718</v>
      </c>
      <c r="D56" s="9">
        <f t="shared" si="5"/>
        <v>0.32046296296296295</v>
      </c>
      <c r="E56" s="9">
        <f t="shared" si="6"/>
        <v>4.9143518518518524E-2</v>
      </c>
      <c r="F56" s="10">
        <f t="shared" si="7"/>
        <v>43</v>
      </c>
      <c r="G56" s="11">
        <f t="shared" si="8"/>
        <v>0.52849609939323905</v>
      </c>
    </row>
    <row r="57" spans="1:7" x14ac:dyDescent="0.25">
      <c r="A57" t="str">
        <f>Sheet1!A57</f>
        <v>Hyd_Manoj Kumar (1008567)</v>
      </c>
      <c r="B57" t="str">
        <f t="shared" si="4"/>
        <v>Manoj Kumar</v>
      </c>
      <c r="C57" s="8" t="s">
        <v>720</v>
      </c>
      <c r="D57" s="9">
        <f t="shared" si="5"/>
        <v>0.33384259259259258</v>
      </c>
      <c r="E57" s="9">
        <f t="shared" si="6"/>
        <v>4.853009259259259E-2</v>
      </c>
      <c r="F57" s="10">
        <f t="shared" si="7"/>
        <v>42</v>
      </c>
      <c r="G57" s="11">
        <f t="shared" si="8"/>
        <v>0.53279711551795905</v>
      </c>
    </row>
    <row r="58" spans="1:7" x14ac:dyDescent="0.25">
      <c r="A58" t="str">
        <f>Sheet1!A58</f>
        <v>Hyd_Manoj Kumar (1008568)</v>
      </c>
      <c r="B58" t="str">
        <f t="shared" si="4"/>
        <v>Manoj Kumar</v>
      </c>
      <c r="C58" s="8" t="s">
        <v>722</v>
      </c>
      <c r="D58" s="9">
        <f t="shared" si="5"/>
        <v>0.33012731481481478</v>
      </c>
      <c r="E58" s="9">
        <f t="shared" si="6"/>
        <v>5.2766203703703697E-2</v>
      </c>
      <c r="F58" s="10">
        <f t="shared" si="7"/>
        <v>41</v>
      </c>
      <c r="G58" s="11">
        <f t="shared" si="8"/>
        <v>0.53150089401535605</v>
      </c>
    </row>
    <row r="59" spans="1:7" x14ac:dyDescent="0.25">
      <c r="A59" t="str">
        <f>Sheet1!A59</f>
        <v>Hyd_Masroor Adil (1008569)</v>
      </c>
      <c r="B59" t="str">
        <f t="shared" si="4"/>
        <v>Masroor Adil</v>
      </c>
      <c r="C59" s="8" t="s">
        <v>657</v>
      </c>
      <c r="D59" s="9">
        <f t="shared" si="5"/>
        <v>0.34032407407407406</v>
      </c>
      <c r="E59" s="9">
        <f t="shared" si="6"/>
        <v>4.9756944444444444E-2</v>
      </c>
      <c r="F59" s="10">
        <f t="shared" si="7"/>
        <v>40</v>
      </c>
      <c r="G59" s="11">
        <f t="shared" si="8"/>
        <v>0.58954564004897303</v>
      </c>
    </row>
    <row r="60" spans="1:7" x14ac:dyDescent="0.25">
      <c r="A60" t="str">
        <f>Sheet1!A60</f>
        <v>Hyd_Meena Zinjare (1008570)</v>
      </c>
      <c r="B60" t="str">
        <f t="shared" si="4"/>
        <v>Meena Zinjare</v>
      </c>
      <c r="C60" s="8" t="s">
        <v>725</v>
      </c>
      <c r="D60" s="9">
        <f t="shared" si="5"/>
        <v>0.33714120370370365</v>
      </c>
      <c r="E60" s="9">
        <f t="shared" si="6"/>
        <v>0.14913194444444444</v>
      </c>
      <c r="F60" s="10">
        <f t="shared" si="7"/>
        <v>39</v>
      </c>
      <c r="G60" s="11">
        <f t="shared" si="8"/>
        <v>0.34903360911806097</v>
      </c>
    </row>
    <row r="61" spans="1:7" x14ac:dyDescent="0.25">
      <c r="A61" t="str">
        <f>Sheet1!A61</f>
        <v>Hyd_Mehnaz Khan (1008571)</v>
      </c>
      <c r="B61" t="str">
        <f t="shared" si="4"/>
        <v>Mehnaz Khan</v>
      </c>
      <c r="C61" s="8" t="s">
        <v>727</v>
      </c>
      <c r="D61" s="9">
        <f t="shared" si="5"/>
        <v>0.34364583333333337</v>
      </c>
      <c r="E61" s="9">
        <f t="shared" si="6"/>
        <v>9.194444444444444E-2</v>
      </c>
      <c r="F61" s="10">
        <f t="shared" si="7"/>
        <v>38</v>
      </c>
      <c r="G61" s="11">
        <f t="shared" si="8"/>
        <v>0.47933717288067101</v>
      </c>
    </row>
    <row r="62" spans="1:7" x14ac:dyDescent="0.25">
      <c r="A62" t="str">
        <f>Sheet1!A62</f>
        <v>Hyd_Mercy Thampi (1008572)</v>
      </c>
      <c r="B62" t="str">
        <f t="shared" si="4"/>
        <v>Mercy Thampi</v>
      </c>
      <c r="C62" s="8" t="s">
        <v>729</v>
      </c>
      <c r="D62" s="9">
        <f t="shared" si="5"/>
        <v>0.21915509259259258</v>
      </c>
      <c r="E62" s="9">
        <f t="shared" si="6"/>
        <v>1.082175925925926E-2</v>
      </c>
      <c r="F62" s="10">
        <f t="shared" si="7"/>
        <v>37</v>
      </c>
      <c r="G62" s="11">
        <f t="shared" si="8"/>
        <v>0.62762080802746201</v>
      </c>
    </row>
    <row r="63" spans="1:7" x14ac:dyDescent="0.25">
      <c r="A63" t="str">
        <f>Sheet1!A63</f>
        <v>Hyd_Miny Mole (1008573)</v>
      </c>
      <c r="B63" t="str">
        <f t="shared" si="4"/>
        <v>Miny Mole</v>
      </c>
      <c r="C63" s="8" t="s">
        <v>731</v>
      </c>
      <c r="D63" s="9">
        <f t="shared" si="5"/>
        <v>0.3417824074074074</v>
      </c>
      <c r="E63" s="9">
        <f t="shared" si="6"/>
        <v>9.2442129629629624E-2</v>
      </c>
      <c r="F63" s="10">
        <f t="shared" si="7"/>
        <v>36</v>
      </c>
      <c r="G63" s="11">
        <f t="shared" si="8"/>
        <v>0.47561801557737898</v>
      </c>
    </row>
    <row r="64" spans="1:7" x14ac:dyDescent="0.25">
      <c r="A64" t="str">
        <f>Sheet1!A64</f>
        <v>Hyd_Mohd Rafi (1008574)</v>
      </c>
      <c r="B64" t="str">
        <f t="shared" si="4"/>
        <v>Mohd Rafi</v>
      </c>
      <c r="C64" s="8" t="s">
        <v>733</v>
      </c>
      <c r="D64" s="9">
        <f t="shared" si="5"/>
        <v>0.33370370370370367</v>
      </c>
      <c r="E64" s="9">
        <f t="shared" si="6"/>
        <v>0.11005787037037036</v>
      </c>
      <c r="F64" s="10">
        <f t="shared" si="7"/>
        <v>35</v>
      </c>
      <c r="G64" s="11">
        <f t="shared" si="8"/>
        <v>0.43635543840177599</v>
      </c>
    </row>
    <row r="65" spans="1:7" x14ac:dyDescent="0.25">
      <c r="A65" t="str">
        <f>Sheet1!A65</f>
        <v>Hyd_Mubeen Khan (1008575)</v>
      </c>
      <c r="B65" t="str">
        <f t="shared" si="4"/>
        <v>Mubeen Khan</v>
      </c>
      <c r="C65" s="8" t="s">
        <v>735</v>
      </c>
      <c r="D65" s="9">
        <f t="shared" si="5"/>
        <v>0.33026620370370369</v>
      </c>
      <c r="E65" s="9">
        <f t="shared" si="6"/>
        <v>0.10043981481481483</v>
      </c>
      <c r="F65" s="10">
        <f t="shared" si="7"/>
        <v>34</v>
      </c>
      <c r="G65" s="11">
        <f t="shared" si="8"/>
        <v>0.451270369721395</v>
      </c>
    </row>
    <row r="66" spans="1:7" x14ac:dyDescent="0.25">
      <c r="A66" t="str">
        <f>Sheet1!A66</f>
        <v>Hyd_Mukesh Nagar (1008576)</v>
      </c>
      <c r="B66" t="str">
        <f t="shared" si="4"/>
        <v>Mukesh Nagar</v>
      </c>
      <c r="C66" s="8" t="s">
        <v>737</v>
      </c>
      <c r="D66" s="9">
        <f t="shared" ref="D66:D97" si="9">TIMEVALUE(VLOOKUP(A66,she, 2,0))</f>
        <v>0.20910879629629631</v>
      </c>
      <c r="E66" s="9">
        <f t="shared" ref="E66:E97" si="10">TIMEVALUE(VLOOKUP(A66,sh,9,0))</f>
        <v>2.0532407407407405E-2</v>
      </c>
      <c r="F66" s="10">
        <f t="shared" ref="F66:F97" si="11">VLOOKUP(A66, shee, 2,0)</f>
        <v>33</v>
      </c>
      <c r="G66" s="11">
        <f t="shared" ref="G66:G97" si="12">VLOOKUP(A66, she, 6, 0)</f>
        <v>0.61244257486024201</v>
      </c>
    </row>
    <row r="67" spans="1:7" x14ac:dyDescent="0.25">
      <c r="A67" t="str">
        <f>Sheet1!A67</f>
        <v>Hyd_Nandu Kumar (1008577)</v>
      </c>
      <c r="B67" t="str">
        <f t="shared" ref="B67:B130" si="13">MID(A67, FIND("_", A67, 1)+1,FIND("(",A67,1)- FIND("_", A67, 1)-2)</f>
        <v>Nandu Kumar</v>
      </c>
      <c r="C67" s="8" t="s">
        <v>739</v>
      </c>
      <c r="D67" s="9">
        <f t="shared" si="9"/>
        <v>0.34836805555555556</v>
      </c>
      <c r="E67" s="9">
        <f t="shared" si="10"/>
        <v>5.1423611111111107E-2</v>
      </c>
      <c r="F67" s="10">
        <f t="shared" si="11"/>
        <v>32</v>
      </c>
      <c r="G67" s="11">
        <f t="shared" si="12"/>
        <v>0.51755872288115901</v>
      </c>
    </row>
    <row r="68" spans="1:7" x14ac:dyDescent="0.25">
      <c r="A68" t="str">
        <f>Sheet1!A68</f>
        <v>Hyd_Narayan Singh (1008578)</v>
      </c>
      <c r="B68" t="str">
        <f t="shared" si="13"/>
        <v>Narayan Singh</v>
      </c>
      <c r="C68" s="8" t="s">
        <v>741</v>
      </c>
      <c r="D68" s="9">
        <f t="shared" si="9"/>
        <v>0.34686342592592595</v>
      </c>
      <c r="E68" s="9">
        <f t="shared" si="10"/>
        <v>4.7534722222222221E-2</v>
      </c>
      <c r="F68" s="10">
        <f t="shared" si="11"/>
        <v>31</v>
      </c>
      <c r="G68" s="11">
        <f t="shared" si="12"/>
        <v>0.55550735760285597</v>
      </c>
    </row>
    <row r="69" spans="1:7" x14ac:dyDescent="0.25">
      <c r="A69" t="str">
        <f>Sheet1!A69</f>
        <v>Hyd_Neeraj Saxena (1008579)</v>
      </c>
      <c r="B69" t="str">
        <f t="shared" si="13"/>
        <v>Neeraj Saxena</v>
      </c>
      <c r="C69" s="8" t="s">
        <v>743</v>
      </c>
      <c r="D69" s="9">
        <f t="shared" si="9"/>
        <v>0.3480671296296296</v>
      </c>
      <c r="E69" s="9">
        <f t="shared" si="10"/>
        <v>9.3958333333333324E-2</v>
      </c>
      <c r="F69" s="10">
        <f t="shared" si="11"/>
        <v>30</v>
      </c>
      <c r="G69" s="11">
        <f t="shared" si="12"/>
        <v>0.45535862734013899</v>
      </c>
    </row>
    <row r="70" spans="1:7" x14ac:dyDescent="0.25">
      <c r="A70" t="str">
        <f>Sheet1!A70</f>
        <v>Hyd_Neeru Mehta (1008580)</v>
      </c>
      <c r="B70" t="str">
        <f t="shared" si="13"/>
        <v>Neeru Mehta</v>
      </c>
      <c r="C70" s="8" t="s">
        <v>745</v>
      </c>
      <c r="D70" s="9">
        <f t="shared" si="9"/>
        <v>0.33495370370370375</v>
      </c>
      <c r="E70" s="9">
        <f t="shared" si="10"/>
        <v>4.8645833333333333E-2</v>
      </c>
      <c r="F70" s="10">
        <f t="shared" si="11"/>
        <v>29</v>
      </c>
      <c r="G70" s="11">
        <f t="shared" si="12"/>
        <v>0.53445058742225304</v>
      </c>
    </row>
    <row r="71" spans="1:7" x14ac:dyDescent="0.25">
      <c r="A71" t="str">
        <f>Sheet1!A71</f>
        <v>Hyd_Nikita Panwalkar (1008581)</v>
      </c>
      <c r="B71" t="str">
        <f t="shared" si="13"/>
        <v>Nikita Panwalkar</v>
      </c>
      <c r="C71" s="8" t="s">
        <v>747</v>
      </c>
      <c r="D71" s="9">
        <f t="shared" si="9"/>
        <v>0.34497685185185184</v>
      </c>
      <c r="E71" s="9">
        <f t="shared" si="10"/>
        <v>6.7650462962962968E-2</v>
      </c>
      <c r="F71" s="10">
        <f t="shared" si="11"/>
        <v>28</v>
      </c>
      <c r="G71" s="11">
        <f t="shared" si="12"/>
        <v>0.55914916459773201</v>
      </c>
    </row>
    <row r="72" spans="1:7" x14ac:dyDescent="0.25">
      <c r="A72" t="str">
        <f>Sheet1!A72</f>
        <v>Hyd_Nitin Bhatia (1008582)</v>
      </c>
      <c r="B72" t="str">
        <f t="shared" si="13"/>
        <v>Nitin Bhatia</v>
      </c>
      <c r="C72" s="8" t="s">
        <v>749</v>
      </c>
      <c r="D72" s="9">
        <f t="shared" si="9"/>
        <v>0.33376157407407409</v>
      </c>
      <c r="E72" s="9">
        <f t="shared" si="10"/>
        <v>4.853009259259259E-2</v>
      </c>
      <c r="F72" s="10">
        <f t="shared" si="11"/>
        <v>29</v>
      </c>
      <c r="G72" s="11">
        <f t="shared" si="12"/>
        <v>0.56847106148351101</v>
      </c>
    </row>
    <row r="73" spans="1:7" x14ac:dyDescent="0.25">
      <c r="A73" t="str">
        <f>Sheet1!A73</f>
        <v>Hyd_Om Prakash (1008583)</v>
      </c>
      <c r="B73" t="str">
        <f t="shared" si="13"/>
        <v>Om Prakash</v>
      </c>
      <c r="C73" s="8" t="s">
        <v>751</v>
      </c>
      <c r="D73" s="9">
        <f t="shared" si="9"/>
        <v>0.33037037037037037</v>
      </c>
      <c r="E73" s="9">
        <f t="shared" si="10"/>
        <v>6.6701388888888893E-2</v>
      </c>
      <c r="F73" s="10">
        <f t="shared" si="11"/>
        <v>30</v>
      </c>
      <c r="G73" s="11">
        <f t="shared" si="12"/>
        <v>0.47509108744394601</v>
      </c>
    </row>
    <row r="74" spans="1:7" x14ac:dyDescent="0.25">
      <c r="A74" t="str">
        <f>Sheet1!A74</f>
        <v>Hyd_Omprakash O (1008584)</v>
      </c>
      <c r="B74" t="str">
        <f t="shared" si="13"/>
        <v>Omprakash O</v>
      </c>
      <c r="C74" s="8" t="s">
        <v>753</v>
      </c>
      <c r="D74" s="9">
        <f t="shared" si="9"/>
        <v>0.34008101851851852</v>
      </c>
      <c r="E74" s="9">
        <f t="shared" si="10"/>
        <v>9.1597222222222219E-2</v>
      </c>
      <c r="F74" s="10">
        <f t="shared" si="11"/>
        <v>31</v>
      </c>
      <c r="G74" s="11">
        <f t="shared" si="12"/>
        <v>0.47578531804104401</v>
      </c>
    </row>
    <row r="75" spans="1:7" x14ac:dyDescent="0.25">
      <c r="A75" t="str">
        <f>Sheet1!A75</f>
        <v>Hyd_Owais Mohd (1008585)</v>
      </c>
      <c r="B75" t="str">
        <f t="shared" si="13"/>
        <v>Owais Mohd</v>
      </c>
      <c r="C75" s="8" t="s">
        <v>755</v>
      </c>
      <c r="D75" s="9">
        <f t="shared" si="9"/>
        <v>0.33415509259259263</v>
      </c>
      <c r="E75" s="9">
        <f t="shared" si="10"/>
        <v>0.10168981481481482</v>
      </c>
      <c r="F75" s="10">
        <f t="shared" si="11"/>
        <v>32</v>
      </c>
      <c r="G75" s="11">
        <f t="shared" si="12"/>
        <v>0.46898271622042897</v>
      </c>
    </row>
    <row r="76" spans="1:7" x14ac:dyDescent="0.25">
      <c r="A76" t="str">
        <f>Sheet1!A76</f>
        <v>Hyd_Pankaj Shelkey (1008586)</v>
      </c>
      <c r="B76" t="str">
        <f t="shared" si="13"/>
        <v>Pankaj Shelkey</v>
      </c>
      <c r="C76" s="8" t="s">
        <v>757</v>
      </c>
      <c r="D76" s="9">
        <f t="shared" si="9"/>
        <v>0.34437500000000004</v>
      </c>
      <c r="E76" s="9">
        <f t="shared" si="10"/>
        <v>8.0162037037037046E-2</v>
      </c>
      <c r="F76" s="10">
        <f t="shared" si="11"/>
        <v>33</v>
      </c>
      <c r="G76" s="11">
        <f t="shared" si="12"/>
        <v>0.51361161524500898</v>
      </c>
    </row>
    <row r="77" spans="1:7" x14ac:dyDescent="0.25">
      <c r="A77" t="str">
        <f>Sheet1!A77</f>
        <v>Hyd_Partha Sarathi (1008587)</v>
      </c>
      <c r="B77" t="str">
        <f t="shared" si="13"/>
        <v>Partha Sarathi</v>
      </c>
      <c r="C77" s="8" t="s">
        <v>759</v>
      </c>
      <c r="D77" s="9">
        <f t="shared" si="9"/>
        <v>0.3558101851851852</v>
      </c>
      <c r="E77" s="9">
        <f t="shared" si="10"/>
        <v>6.8541666666666667E-2</v>
      </c>
      <c r="F77" s="10">
        <f t="shared" si="11"/>
        <v>34</v>
      </c>
      <c r="G77" s="11">
        <f t="shared" si="12"/>
        <v>0.525112224318522</v>
      </c>
    </row>
    <row r="78" spans="1:7" x14ac:dyDescent="0.25">
      <c r="A78" t="str">
        <f>Sheet1!A78</f>
        <v>Hyd_Prabha Desikan (1008588)</v>
      </c>
      <c r="B78" t="str">
        <f t="shared" si="13"/>
        <v>Prabha Desikan</v>
      </c>
      <c r="C78" s="8" t="s">
        <v>761</v>
      </c>
      <c r="D78" s="9">
        <f t="shared" si="9"/>
        <v>0.34848379629629633</v>
      </c>
      <c r="E78" s="9">
        <f t="shared" si="10"/>
        <v>0.17460648148148147</v>
      </c>
      <c r="F78" s="10">
        <f t="shared" si="11"/>
        <v>35</v>
      </c>
      <c r="G78" s="11">
        <f t="shared" si="12"/>
        <v>0.348600086352918</v>
      </c>
    </row>
    <row r="79" spans="1:7" x14ac:dyDescent="0.25">
      <c r="A79" t="str">
        <f>Sheet1!A79</f>
        <v>Hyd_Pramod Tiwari (1008589)</v>
      </c>
      <c r="B79" t="str">
        <f t="shared" si="13"/>
        <v>Pramod Tiwari</v>
      </c>
      <c r="C79" s="8" t="s">
        <v>763</v>
      </c>
      <c r="D79" s="9">
        <f t="shared" si="9"/>
        <v>0.35092592592592592</v>
      </c>
      <c r="E79" s="9">
        <f t="shared" si="10"/>
        <v>0.18131944444444445</v>
      </c>
      <c r="F79" s="10">
        <f t="shared" si="11"/>
        <v>36</v>
      </c>
      <c r="G79" s="11">
        <f t="shared" si="12"/>
        <v>0.314709762532982</v>
      </c>
    </row>
    <row r="80" spans="1:7" x14ac:dyDescent="0.25">
      <c r="A80" t="str">
        <f>Sheet1!A80</f>
        <v>Hyd_Prasannakumari S (1008590)</v>
      </c>
      <c r="B80" t="str">
        <f t="shared" si="13"/>
        <v>Prasannakumari S</v>
      </c>
      <c r="C80" s="8" t="s">
        <v>765</v>
      </c>
      <c r="D80" s="9">
        <f t="shared" si="9"/>
        <v>0.33891203703703704</v>
      </c>
      <c r="E80" s="9">
        <f t="shared" si="10"/>
        <v>4.8900462962962965E-2</v>
      </c>
      <c r="F80" s="10">
        <f t="shared" si="11"/>
        <v>37</v>
      </c>
      <c r="G80" s="11">
        <f t="shared" si="12"/>
        <v>0.55600710333993597</v>
      </c>
    </row>
    <row r="81" spans="1:7" x14ac:dyDescent="0.25">
      <c r="A81" t="str">
        <f>Sheet1!A81</f>
        <v>Hyd_Praveen Kumar (1008591)</v>
      </c>
      <c r="B81" t="str">
        <f t="shared" si="13"/>
        <v>Praveen Kumar</v>
      </c>
      <c r="C81" s="8" t="s">
        <v>767</v>
      </c>
      <c r="D81" s="9">
        <f t="shared" si="9"/>
        <v>0.34675925925925927</v>
      </c>
      <c r="E81" s="9">
        <f t="shared" si="10"/>
        <v>0.10935185185185185</v>
      </c>
      <c r="F81" s="10">
        <f t="shared" si="11"/>
        <v>38</v>
      </c>
      <c r="G81" s="11">
        <f t="shared" si="12"/>
        <v>0.46221628838451301</v>
      </c>
    </row>
    <row r="82" spans="1:7" x14ac:dyDescent="0.25">
      <c r="A82" t="str">
        <f>Sheet1!A82</f>
        <v>Hyd_Rachel Mathew (1008592)</v>
      </c>
      <c r="B82" t="str">
        <f t="shared" si="13"/>
        <v>Rachel Mathew</v>
      </c>
      <c r="C82" s="8" t="s">
        <v>769</v>
      </c>
      <c r="D82" s="9">
        <f t="shared" si="9"/>
        <v>0.3511111111111111</v>
      </c>
      <c r="E82" s="9">
        <f t="shared" si="10"/>
        <v>0.13890046296296296</v>
      </c>
      <c r="F82" s="10">
        <f t="shared" si="11"/>
        <v>39</v>
      </c>
      <c r="G82" s="11">
        <f t="shared" si="12"/>
        <v>0.39075685654008402</v>
      </c>
    </row>
    <row r="83" spans="1:7" x14ac:dyDescent="0.25">
      <c r="A83" t="str">
        <f>Sheet1!A83</f>
        <v>Hyd_Rachita Anupam (1008593)</v>
      </c>
      <c r="B83" t="str">
        <f t="shared" si="13"/>
        <v>Rachita Anupam</v>
      </c>
      <c r="C83" s="8" t="s">
        <v>771</v>
      </c>
      <c r="D83" s="9">
        <f t="shared" si="9"/>
        <v>0.3447453703703704</v>
      </c>
      <c r="E83" s="9">
        <f t="shared" si="10"/>
        <v>4.7592592592592596E-2</v>
      </c>
      <c r="F83" s="10">
        <f t="shared" si="11"/>
        <v>40</v>
      </c>
      <c r="G83" s="11">
        <f t="shared" si="12"/>
        <v>0.54713623850130899</v>
      </c>
    </row>
    <row r="84" spans="1:7" x14ac:dyDescent="0.25">
      <c r="A84" t="str">
        <f>Sheet1!A84</f>
        <v>Hyd_Rachna Chauhan (1008594)</v>
      </c>
      <c r="B84" t="str">
        <f t="shared" si="13"/>
        <v>Rachna Chauhan</v>
      </c>
      <c r="C84" s="8" t="s">
        <v>773</v>
      </c>
      <c r="D84" s="9">
        <f t="shared" si="9"/>
        <v>0.3167476851851852</v>
      </c>
      <c r="E84" s="9">
        <f t="shared" si="10"/>
        <v>2.1064814814814814E-2</v>
      </c>
      <c r="F84" s="10">
        <f t="shared" si="11"/>
        <v>41</v>
      </c>
      <c r="G84" s="11">
        <f t="shared" si="12"/>
        <v>0.61457229509993805</v>
      </c>
    </row>
    <row r="85" spans="1:7" x14ac:dyDescent="0.25">
      <c r="A85" t="str">
        <f>Sheet1!A85</f>
        <v>Hyd_Raj Kumar (1008595)</v>
      </c>
      <c r="B85" t="str">
        <f t="shared" si="13"/>
        <v>Raj Kumar</v>
      </c>
      <c r="C85" s="8" t="s">
        <v>775</v>
      </c>
      <c r="D85" s="9">
        <f t="shared" si="9"/>
        <v>0.34024305555555556</v>
      </c>
      <c r="E85" s="9">
        <f t="shared" si="10"/>
        <v>4.7731481481481486E-2</v>
      </c>
      <c r="F85" s="10">
        <f t="shared" si="11"/>
        <v>42</v>
      </c>
      <c r="G85" s="11">
        <f t="shared" si="12"/>
        <v>0.55335578460387103</v>
      </c>
    </row>
    <row r="86" spans="1:7" x14ac:dyDescent="0.25">
      <c r="A86" t="str">
        <f>Sheet1!A86</f>
        <v>Hyd_Rajeev Garg (1008596)</v>
      </c>
      <c r="B86" t="str">
        <f t="shared" si="13"/>
        <v>Rajeev Garg</v>
      </c>
      <c r="C86" s="8" t="s">
        <v>777</v>
      </c>
      <c r="D86" s="9">
        <f t="shared" si="9"/>
        <v>0.33611111111111108</v>
      </c>
      <c r="E86" s="9">
        <f t="shared" si="10"/>
        <v>4.7500000000000007E-2</v>
      </c>
      <c r="F86" s="10">
        <f t="shared" si="11"/>
        <v>43</v>
      </c>
      <c r="G86" s="11">
        <f t="shared" si="12"/>
        <v>0.611363636363636</v>
      </c>
    </row>
    <row r="87" spans="1:7" x14ac:dyDescent="0.25">
      <c r="A87" t="str">
        <f>Sheet1!A87</f>
        <v>Hyd_Rajeev Kumar (1008597)</v>
      </c>
      <c r="B87" t="str">
        <f t="shared" si="13"/>
        <v>Rajeev Kumar</v>
      </c>
      <c r="C87" s="8" t="s">
        <v>779</v>
      </c>
      <c r="D87" s="9">
        <f t="shared" si="9"/>
        <v>0.3331365740740741</v>
      </c>
      <c r="E87" s="9">
        <f t="shared" si="10"/>
        <v>6.7430555555555563E-2</v>
      </c>
      <c r="F87" s="10">
        <f t="shared" si="11"/>
        <v>44</v>
      </c>
      <c r="G87" s="11">
        <f t="shared" si="12"/>
        <v>0.51217732689434703</v>
      </c>
    </row>
    <row r="88" spans="1:7" x14ac:dyDescent="0.25">
      <c r="A88" t="str">
        <f>Sheet1!A88</f>
        <v>Hyd_Rajendra Gupta (1008598)</v>
      </c>
      <c r="B88" t="str">
        <f t="shared" si="13"/>
        <v>Rajendra Gupta</v>
      </c>
      <c r="C88" s="8" t="s">
        <v>781</v>
      </c>
      <c r="D88" s="9">
        <f t="shared" si="9"/>
        <v>0.35135416666666663</v>
      </c>
      <c r="E88" s="9">
        <f t="shared" si="10"/>
        <v>5.4953703703703706E-2</v>
      </c>
      <c r="F88" s="10">
        <f t="shared" si="11"/>
        <v>45</v>
      </c>
      <c r="G88" s="11">
        <f t="shared" si="12"/>
        <v>0.56029910728991705</v>
      </c>
    </row>
    <row r="89" spans="1:7" x14ac:dyDescent="0.25">
      <c r="A89" t="str">
        <f>Sheet1!A89</f>
        <v>Hyd_Rajendra Kumar (1008599)</v>
      </c>
      <c r="B89" t="str">
        <f t="shared" si="13"/>
        <v>Rajendra Kumar</v>
      </c>
      <c r="C89" s="8" t="s">
        <v>783</v>
      </c>
      <c r="D89" s="9">
        <f t="shared" si="9"/>
        <v>0.34356481481481477</v>
      </c>
      <c r="E89" s="9">
        <f t="shared" si="10"/>
        <v>0.10712962962962963</v>
      </c>
      <c r="F89" s="10">
        <f t="shared" si="11"/>
        <v>46</v>
      </c>
      <c r="G89" s="11">
        <f t="shared" si="12"/>
        <v>0.42891793558819602</v>
      </c>
    </row>
    <row r="90" spans="1:7" x14ac:dyDescent="0.25">
      <c r="A90" t="str">
        <f>Sheet1!A90</f>
        <v>Hyd_Rajendra Prasad (1008600)</v>
      </c>
      <c r="B90" t="str">
        <f t="shared" si="13"/>
        <v>Rajendra Prasad</v>
      </c>
      <c r="C90" s="8" t="s">
        <v>785</v>
      </c>
      <c r="D90" s="9">
        <f t="shared" si="9"/>
        <v>0.34900462962962964</v>
      </c>
      <c r="E90" s="9">
        <f t="shared" si="10"/>
        <v>0.29744212962962963</v>
      </c>
      <c r="F90" s="10">
        <f t="shared" si="11"/>
        <v>47</v>
      </c>
      <c r="G90" s="11">
        <f t="shared" si="12"/>
        <v>9.4547987000066294E-2</v>
      </c>
    </row>
    <row r="91" spans="1:7" x14ac:dyDescent="0.25">
      <c r="A91" t="str">
        <f>Sheet1!A91</f>
        <v>Hyd_Rajesh Kumar (1008601)</v>
      </c>
      <c r="B91" t="str">
        <f t="shared" si="13"/>
        <v>Rajesh Kumar</v>
      </c>
      <c r="C91" s="8" t="s">
        <v>787</v>
      </c>
      <c r="D91" s="9">
        <f t="shared" si="9"/>
        <v>0.33378472222222227</v>
      </c>
      <c r="E91" s="9">
        <f t="shared" si="10"/>
        <v>5.004629629629629E-2</v>
      </c>
      <c r="F91" s="10">
        <f t="shared" si="11"/>
        <v>48</v>
      </c>
      <c r="G91" s="11">
        <f t="shared" si="12"/>
        <v>0.61021533340268397</v>
      </c>
    </row>
    <row r="92" spans="1:7" x14ac:dyDescent="0.25">
      <c r="A92" t="str">
        <f>Sheet1!A92</f>
        <v>Hyd_Rajesh Kumar (1008602)</v>
      </c>
      <c r="B92" t="str">
        <f t="shared" si="13"/>
        <v>Rajesh Kumar</v>
      </c>
      <c r="C92" s="8" t="s">
        <v>789</v>
      </c>
      <c r="D92" s="9">
        <f t="shared" si="9"/>
        <v>0.34559027777777779</v>
      </c>
      <c r="E92" s="9">
        <f t="shared" si="10"/>
        <v>8.790509259259259E-2</v>
      </c>
      <c r="F92" s="10">
        <f t="shared" si="11"/>
        <v>49</v>
      </c>
      <c r="G92" s="11">
        <f t="shared" si="12"/>
        <v>0.51260926353863201</v>
      </c>
    </row>
    <row r="93" spans="1:7" x14ac:dyDescent="0.25">
      <c r="A93" t="str">
        <f>Sheet1!A93</f>
        <v>Hyd_Rajesh Sharma (1008603)</v>
      </c>
      <c r="B93" t="str">
        <f t="shared" si="13"/>
        <v>Rajesh Sharma</v>
      </c>
      <c r="C93" s="8" t="s">
        <v>791</v>
      </c>
      <c r="D93" s="9">
        <f t="shared" si="9"/>
        <v>0.21146990740740743</v>
      </c>
      <c r="E93" s="9">
        <f t="shared" si="10"/>
        <v>1.6979166666666667E-2</v>
      </c>
      <c r="F93" s="10">
        <f t="shared" si="11"/>
        <v>50</v>
      </c>
      <c r="G93" s="11">
        <f t="shared" si="12"/>
        <v>0.62426796562859199</v>
      </c>
    </row>
    <row r="94" spans="1:7" x14ac:dyDescent="0.25">
      <c r="A94" t="str">
        <f>Sheet1!A94</f>
        <v>Hyd_Raji Abraham (1008604)</v>
      </c>
      <c r="B94" t="str">
        <f t="shared" si="13"/>
        <v>Raji Abraham</v>
      </c>
      <c r="C94" s="8" t="s">
        <v>793</v>
      </c>
      <c r="D94" s="9">
        <f t="shared" si="9"/>
        <v>0.34075231481481483</v>
      </c>
      <c r="E94" s="9">
        <f t="shared" si="10"/>
        <v>4.8240740740740744E-2</v>
      </c>
      <c r="F94" s="10">
        <f t="shared" si="11"/>
        <v>51</v>
      </c>
      <c r="G94" s="11">
        <f t="shared" si="12"/>
        <v>0.54373153085832704</v>
      </c>
    </row>
    <row r="95" spans="1:7" x14ac:dyDescent="0.25">
      <c r="A95" t="str">
        <f>Sheet1!A95</f>
        <v>Hyd_Rajshree Dhabekar (1008605)</v>
      </c>
      <c r="B95" t="str">
        <f t="shared" si="13"/>
        <v>Rajshree Dhabekar</v>
      </c>
      <c r="C95" s="8" t="s">
        <v>795</v>
      </c>
      <c r="D95" s="9">
        <f t="shared" si="9"/>
        <v>0.34390046296296295</v>
      </c>
      <c r="E95" s="9">
        <f t="shared" si="10"/>
        <v>0.34385416666666663</v>
      </c>
      <c r="F95" s="10">
        <f t="shared" si="11"/>
        <v>52</v>
      </c>
      <c r="G95" s="11">
        <f t="shared" si="12"/>
        <v>0</v>
      </c>
    </row>
    <row r="96" spans="1:7" x14ac:dyDescent="0.25">
      <c r="A96" t="str">
        <f>Sheet1!A96</f>
        <v>Hyd_Rakhi Jodhani (1008606)</v>
      </c>
      <c r="B96" t="str">
        <f t="shared" si="13"/>
        <v>Rakhi Jodhani</v>
      </c>
      <c r="C96" s="8" t="s">
        <v>797</v>
      </c>
      <c r="D96" s="9">
        <f t="shared" si="9"/>
        <v>0.33532407407407411</v>
      </c>
      <c r="E96" s="9">
        <f t="shared" si="10"/>
        <v>0.27759259259259261</v>
      </c>
      <c r="F96" s="10">
        <f t="shared" si="11"/>
        <v>53</v>
      </c>
      <c r="G96" s="11">
        <f t="shared" si="12"/>
        <v>0.14431174927516199</v>
      </c>
    </row>
    <row r="97" spans="1:7" x14ac:dyDescent="0.25">
      <c r="A97" t="str">
        <f>Sheet1!A97</f>
        <v>Hyd_Ramji Prasad (1008607)</v>
      </c>
      <c r="B97" t="str">
        <f t="shared" si="13"/>
        <v>Ramji Prasad</v>
      </c>
      <c r="C97" s="8" t="s">
        <v>799</v>
      </c>
      <c r="D97" s="9">
        <f t="shared" si="9"/>
        <v>0.34682870370370367</v>
      </c>
      <c r="E97" s="9">
        <f t="shared" si="10"/>
        <v>5.122685185185185E-2</v>
      </c>
      <c r="F97" s="10">
        <f t="shared" si="11"/>
        <v>54</v>
      </c>
      <c r="G97" s="11">
        <f t="shared" si="12"/>
        <v>0.55259293866381898</v>
      </c>
    </row>
    <row r="98" spans="1:7" x14ac:dyDescent="0.25">
      <c r="A98" t="str">
        <f>Sheet1!A98</f>
        <v>Del_Rashid (1008608)</v>
      </c>
      <c r="B98" t="str">
        <f t="shared" si="13"/>
        <v>Rashid</v>
      </c>
      <c r="C98" s="8" t="s">
        <v>801</v>
      </c>
      <c r="D98" s="9">
        <f t="shared" ref="D98:D129" si="14">TIMEVALUE(VLOOKUP(A98,she, 2,0))</f>
        <v>0.33483796296296298</v>
      </c>
      <c r="E98" s="9">
        <f t="shared" ref="E98:E129" si="15">TIMEVALUE(VLOOKUP(A98,sh,9,0))</f>
        <v>0.23973379629629629</v>
      </c>
      <c r="F98" s="10">
        <f t="shared" ref="F98:F129" si="16">VLOOKUP(A98, shee, 2,0)</f>
        <v>55</v>
      </c>
      <c r="G98" s="11">
        <f t="shared" ref="G98:G129" si="17">VLOOKUP(A98, she, 6, 0)</f>
        <v>0.18938817836156199</v>
      </c>
    </row>
    <row r="99" spans="1:7" x14ac:dyDescent="0.25">
      <c r="A99" t="str">
        <f>Sheet1!A99</f>
        <v>Del_Rashmi Gajbe (1008609)</v>
      </c>
      <c r="B99" t="str">
        <f t="shared" si="13"/>
        <v>Rashmi Gajbe</v>
      </c>
      <c r="C99" s="8" t="s">
        <v>803</v>
      </c>
      <c r="D99" s="9">
        <f t="shared" si="14"/>
        <v>0.34770833333333334</v>
      </c>
      <c r="E99" s="9">
        <f t="shared" si="15"/>
        <v>8.6782407407407405E-2</v>
      </c>
      <c r="F99" s="10">
        <f t="shared" si="16"/>
        <v>56</v>
      </c>
      <c r="G99" s="11">
        <f t="shared" si="17"/>
        <v>0.47077424938419499</v>
      </c>
    </row>
    <row r="100" spans="1:7" x14ac:dyDescent="0.25">
      <c r="A100" t="str">
        <f>Sheet1!A100</f>
        <v>Del_Ravi Kumar (1008610)</v>
      </c>
      <c r="B100" t="str">
        <f t="shared" si="13"/>
        <v>Ravi Kumar</v>
      </c>
      <c r="C100" s="8" t="s">
        <v>720</v>
      </c>
      <c r="D100" s="9">
        <f t="shared" si="14"/>
        <v>0.33384259259259258</v>
      </c>
      <c r="E100" s="9">
        <f t="shared" si="15"/>
        <v>4.9467592592592591E-2</v>
      </c>
      <c r="F100" s="10">
        <f t="shared" si="16"/>
        <v>57</v>
      </c>
      <c r="G100" s="11">
        <f t="shared" si="17"/>
        <v>0.53862155040909698</v>
      </c>
    </row>
    <row r="101" spans="1:7" x14ac:dyDescent="0.25">
      <c r="A101" t="str">
        <f>Sheet1!A101</f>
        <v>Del_Ravinder Kaur (1008611)</v>
      </c>
      <c r="B101" t="str">
        <f t="shared" si="13"/>
        <v>Ravinder Kaur</v>
      </c>
      <c r="C101" s="8" t="s">
        <v>806</v>
      </c>
      <c r="D101" s="9">
        <f t="shared" si="14"/>
        <v>0.3346412037037037</v>
      </c>
      <c r="E101" s="9">
        <f t="shared" si="15"/>
        <v>4.8240740740740744E-2</v>
      </c>
      <c r="F101" s="10">
        <f t="shared" si="16"/>
        <v>58</v>
      </c>
      <c r="G101" s="11">
        <f t="shared" si="17"/>
        <v>0.53294365856189296</v>
      </c>
    </row>
    <row r="102" spans="1:7" x14ac:dyDescent="0.25">
      <c r="A102" t="str">
        <f>Sheet1!A102</f>
        <v>Del_Rekha Agarwal (1008612)</v>
      </c>
      <c r="B102" t="str">
        <f t="shared" si="13"/>
        <v>Rekha Agarwal</v>
      </c>
      <c r="C102" s="8" t="s">
        <v>808</v>
      </c>
      <c r="D102" s="9">
        <f t="shared" si="14"/>
        <v>0.24574074074074073</v>
      </c>
      <c r="E102" s="9">
        <f t="shared" si="15"/>
        <v>0.11229166666666668</v>
      </c>
      <c r="F102" s="10">
        <f t="shared" si="16"/>
        <v>59</v>
      </c>
      <c r="G102" s="11">
        <f t="shared" si="17"/>
        <v>0.41310286360211002</v>
      </c>
    </row>
    <row r="103" spans="1:7" x14ac:dyDescent="0.25">
      <c r="A103" t="str">
        <f>Sheet1!A103</f>
        <v>Del_Rekha Gupta (1008613)</v>
      </c>
      <c r="B103" t="str">
        <f t="shared" si="13"/>
        <v>Rekha Gupta</v>
      </c>
      <c r="C103" s="8" t="s">
        <v>810</v>
      </c>
      <c r="D103" s="9">
        <f t="shared" si="14"/>
        <v>0.34446759259259263</v>
      </c>
      <c r="E103" s="9">
        <f t="shared" si="15"/>
        <v>7.6817129629629624E-2</v>
      </c>
      <c r="F103" s="10">
        <f t="shared" si="16"/>
        <v>60</v>
      </c>
      <c r="G103" s="11">
        <f t="shared" si="17"/>
        <v>0.50483838451717</v>
      </c>
    </row>
    <row r="104" spans="1:7" x14ac:dyDescent="0.25">
      <c r="A104" t="str">
        <f>Sheet1!A104</f>
        <v>Del_Rekha Jain  (1008614)</v>
      </c>
      <c r="B104" t="str">
        <f t="shared" si="13"/>
        <v xml:space="preserve">Rekha Jain </v>
      </c>
      <c r="C104" s="8" t="s">
        <v>812</v>
      </c>
      <c r="D104" s="9">
        <f t="shared" si="14"/>
        <v>0.34423611111111113</v>
      </c>
      <c r="E104" s="9">
        <f t="shared" si="15"/>
        <v>6.732638888888888E-2</v>
      </c>
      <c r="F104" s="10">
        <f t="shared" si="16"/>
        <v>61</v>
      </c>
      <c r="G104" s="11">
        <f t="shared" si="17"/>
        <v>0.52390558805729304</v>
      </c>
    </row>
    <row r="105" spans="1:7" x14ac:dyDescent="0.25">
      <c r="A105" t="str">
        <f>Sheet1!A105</f>
        <v>Del_Renu Pratap (1008615)</v>
      </c>
      <c r="B105" t="str">
        <f t="shared" si="13"/>
        <v>Renu Pratap</v>
      </c>
      <c r="C105" s="8" t="s">
        <v>814</v>
      </c>
      <c r="D105" s="9">
        <f t="shared" si="14"/>
        <v>0.34479166666666666</v>
      </c>
      <c r="E105" s="9">
        <f t="shared" si="15"/>
        <v>0.21383101851851852</v>
      </c>
      <c r="F105" s="10">
        <f t="shared" si="16"/>
        <v>62</v>
      </c>
      <c r="G105" s="11">
        <f t="shared" si="17"/>
        <v>0.25444780127559602</v>
      </c>
    </row>
    <row r="106" spans="1:7" x14ac:dyDescent="0.25">
      <c r="A106" t="str">
        <f>Sheet1!A106</f>
        <v>Del_Ritu Bhatnagar (1008616)</v>
      </c>
      <c r="B106" t="str">
        <f t="shared" si="13"/>
        <v>Ritu Bhatnagar</v>
      </c>
      <c r="C106" s="8" t="s">
        <v>816</v>
      </c>
      <c r="D106" s="9">
        <f t="shared" si="14"/>
        <v>0.33458333333333329</v>
      </c>
      <c r="E106" s="9">
        <f t="shared" si="15"/>
        <v>5.092592592592593E-2</v>
      </c>
      <c r="F106" s="10">
        <f t="shared" si="16"/>
        <v>63</v>
      </c>
      <c r="G106" s="11">
        <f t="shared" si="17"/>
        <v>0.55517503805174995</v>
      </c>
    </row>
    <row r="107" spans="1:7" x14ac:dyDescent="0.25">
      <c r="A107" t="str">
        <f>Sheet1!A107</f>
        <v>Del_Rohit Nishchal (1008617)</v>
      </c>
      <c r="B107" t="str">
        <f t="shared" si="13"/>
        <v>Rohit Nishchal</v>
      </c>
      <c r="C107" s="8" t="s">
        <v>818</v>
      </c>
      <c r="D107" s="9">
        <f t="shared" si="14"/>
        <v>0.34524305555555551</v>
      </c>
      <c r="E107" s="9">
        <f t="shared" si="15"/>
        <v>0.34513888888888888</v>
      </c>
      <c r="F107" s="10">
        <f t="shared" si="16"/>
        <v>64</v>
      </c>
      <c r="G107" s="11">
        <f t="shared" si="17"/>
        <v>0</v>
      </c>
    </row>
    <row r="108" spans="1:7" x14ac:dyDescent="0.25">
      <c r="A108" t="str">
        <f>Sheet1!A108</f>
        <v>Del_Roli Bhatnagar (1008618)</v>
      </c>
      <c r="B108" t="str">
        <f t="shared" si="13"/>
        <v>Roli Bhatnagar</v>
      </c>
      <c r="C108" s="8" t="s">
        <v>612</v>
      </c>
      <c r="D108" s="9">
        <f t="shared" si="14"/>
        <v>0.34424768518518517</v>
      </c>
      <c r="E108" s="9">
        <f t="shared" si="15"/>
        <v>9.0462962962962967E-2</v>
      </c>
      <c r="F108" s="10">
        <f t="shared" si="16"/>
        <v>65</v>
      </c>
      <c r="G108" s="11">
        <f t="shared" si="17"/>
        <v>0.477120667047709</v>
      </c>
    </row>
    <row r="109" spans="1:7" x14ac:dyDescent="0.25">
      <c r="A109" t="str">
        <f>Sheet1!A109</f>
        <v>Del_Roma Rastogi (1008619)</v>
      </c>
      <c r="B109" t="str">
        <f t="shared" si="13"/>
        <v>Roma Rastogi</v>
      </c>
      <c r="C109" s="8" t="s">
        <v>820</v>
      </c>
      <c r="D109" s="9">
        <f t="shared" si="14"/>
        <v>0.35488425925925932</v>
      </c>
      <c r="E109" s="9">
        <f t="shared" si="15"/>
        <v>3.7349537037037035E-2</v>
      </c>
      <c r="F109" s="10">
        <f t="shared" si="16"/>
        <v>66</v>
      </c>
      <c r="G109" s="11">
        <f t="shared" si="17"/>
        <v>0.61917030852521004</v>
      </c>
    </row>
    <row r="110" spans="1:7" x14ac:dyDescent="0.25">
      <c r="A110" t="str">
        <f>Sheet1!A110</f>
        <v>Del_Roohi Haider (1008620)</v>
      </c>
      <c r="B110" t="str">
        <f t="shared" si="13"/>
        <v>Roohi Haider</v>
      </c>
      <c r="C110" s="8" t="s">
        <v>822</v>
      </c>
      <c r="D110" s="9">
        <f t="shared" si="14"/>
        <v>0.33346064814814813</v>
      </c>
      <c r="E110" s="9">
        <f t="shared" si="15"/>
        <v>4.8194444444444449E-2</v>
      </c>
      <c r="F110" s="10">
        <f t="shared" si="16"/>
        <v>67</v>
      </c>
      <c r="G110" s="11">
        <f t="shared" si="17"/>
        <v>0.55305265350039901</v>
      </c>
    </row>
    <row r="111" spans="1:7" x14ac:dyDescent="0.25">
      <c r="A111" t="str">
        <f>Sheet1!A111</f>
        <v>Del_Sajid Naqvi (1008621)</v>
      </c>
      <c r="B111" t="str">
        <f t="shared" si="13"/>
        <v>Sajid Naqvi</v>
      </c>
      <c r="C111" s="8" t="s">
        <v>824</v>
      </c>
      <c r="D111" s="9">
        <f t="shared" si="14"/>
        <v>0.34430555555555559</v>
      </c>
      <c r="E111" s="9">
        <f t="shared" si="15"/>
        <v>4.7685185185185185E-2</v>
      </c>
      <c r="F111" s="10">
        <f t="shared" si="16"/>
        <v>68</v>
      </c>
      <c r="G111" s="11">
        <f t="shared" si="17"/>
        <v>0.56195374478956595</v>
      </c>
    </row>
    <row r="112" spans="1:7" x14ac:dyDescent="0.25">
      <c r="A112" t="str">
        <f>Sheet1!A112</f>
        <v>Del_Salim (1008622)</v>
      </c>
      <c r="B112" t="str">
        <f t="shared" si="13"/>
        <v>Salim</v>
      </c>
      <c r="C112" s="8" t="s">
        <v>826</v>
      </c>
      <c r="D112" s="9">
        <f t="shared" si="14"/>
        <v>0.34439814814814818</v>
      </c>
      <c r="E112" s="9">
        <f t="shared" si="15"/>
        <v>8.2974537037037041E-2</v>
      </c>
      <c r="F112" s="10">
        <f t="shared" si="16"/>
        <v>69</v>
      </c>
      <c r="G112" s="11">
        <f t="shared" si="17"/>
        <v>0.48780077967468699</v>
      </c>
    </row>
    <row r="113" spans="1:7" x14ac:dyDescent="0.25">
      <c r="A113" t="str">
        <f>Sheet1!A113</f>
        <v>Del_Sanjay Hire (1008623)</v>
      </c>
      <c r="B113" t="str">
        <f t="shared" si="13"/>
        <v>Sanjay Hire</v>
      </c>
      <c r="C113" s="8" t="s">
        <v>828</v>
      </c>
      <c r="D113" s="9">
        <f t="shared" si="14"/>
        <v>0.34435185185185185</v>
      </c>
      <c r="E113" s="9">
        <f t="shared" si="15"/>
        <v>4.8414351851851854E-2</v>
      </c>
      <c r="F113" s="10">
        <f t="shared" si="16"/>
        <v>70</v>
      </c>
      <c r="G113" s="11">
        <f t="shared" si="17"/>
        <v>0.55414762032804499</v>
      </c>
    </row>
    <row r="114" spans="1:7" x14ac:dyDescent="0.25">
      <c r="A114" t="str">
        <f>Sheet1!A114</f>
        <v>Del_Sanjiv Subherwal (1008624)</v>
      </c>
      <c r="B114" t="str">
        <f t="shared" si="13"/>
        <v>Sanjiv Subherwal</v>
      </c>
      <c r="C114" s="8" t="s">
        <v>830</v>
      </c>
      <c r="D114" s="9">
        <f t="shared" si="14"/>
        <v>0.33491898148148147</v>
      </c>
      <c r="E114" s="9">
        <f t="shared" si="15"/>
        <v>4.8784722222222222E-2</v>
      </c>
      <c r="F114" s="10">
        <f t="shared" si="16"/>
        <v>71</v>
      </c>
      <c r="G114" s="11">
        <f t="shared" si="17"/>
        <v>0.58651553374572396</v>
      </c>
    </row>
    <row r="115" spans="1:7" x14ac:dyDescent="0.25">
      <c r="A115" t="str">
        <f>Sheet1!A115</f>
        <v>Del_Sanju Ramdas (1008625)</v>
      </c>
      <c r="B115" t="str">
        <f t="shared" si="13"/>
        <v>Sanju Ramdas</v>
      </c>
      <c r="C115" s="8" t="s">
        <v>832</v>
      </c>
      <c r="D115" s="9">
        <f t="shared" si="14"/>
        <v>0.34442129629629631</v>
      </c>
      <c r="E115" s="9">
        <f t="shared" si="15"/>
        <v>5.1342592592592586E-2</v>
      </c>
      <c r="F115" s="10">
        <f t="shared" si="16"/>
        <v>72</v>
      </c>
      <c r="G115" s="11">
        <f t="shared" si="17"/>
        <v>0.58165871362322696</v>
      </c>
    </row>
    <row r="116" spans="1:7" x14ac:dyDescent="0.25">
      <c r="A116" t="str">
        <f>Sheet1!A116</f>
        <v>Del_Santosh Kumar (1008626)</v>
      </c>
      <c r="B116" t="str">
        <f t="shared" si="13"/>
        <v>Santosh Kumar</v>
      </c>
      <c r="C116" s="8" t="s">
        <v>733</v>
      </c>
      <c r="D116" s="9">
        <f t="shared" si="14"/>
        <v>0.33370370370370367</v>
      </c>
      <c r="E116" s="9">
        <f t="shared" si="15"/>
        <v>4.8472222222222222E-2</v>
      </c>
      <c r="F116" s="10">
        <f t="shared" si="16"/>
        <v>73</v>
      </c>
      <c r="G116" s="11">
        <f t="shared" si="17"/>
        <v>0.59073251942286398</v>
      </c>
    </row>
    <row r="117" spans="1:7" x14ac:dyDescent="0.25">
      <c r="A117" t="str">
        <f>Sheet1!A117</f>
        <v>Del_Santosh Kumar (1008627)</v>
      </c>
      <c r="B117" t="str">
        <f t="shared" si="13"/>
        <v>Santosh Kumar</v>
      </c>
      <c r="C117" s="8" t="s">
        <v>835</v>
      </c>
      <c r="D117" s="9">
        <f t="shared" si="14"/>
        <v>0.34518518518518521</v>
      </c>
      <c r="E117" s="9">
        <f t="shared" si="15"/>
        <v>4.9282407407407407E-2</v>
      </c>
      <c r="F117" s="10">
        <f t="shared" si="16"/>
        <v>74</v>
      </c>
      <c r="G117" s="11">
        <f t="shared" si="17"/>
        <v>0.58640692060085797</v>
      </c>
    </row>
    <row r="118" spans="1:7" x14ac:dyDescent="0.25">
      <c r="A118" t="str">
        <f>Sheet1!A118</f>
        <v>Del_Santosh Kumar (1008628)</v>
      </c>
      <c r="B118" t="str">
        <f t="shared" si="13"/>
        <v>Santosh Kumar</v>
      </c>
      <c r="C118" s="8" t="s">
        <v>837</v>
      </c>
      <c r="D118" s="9">
        <f t="shared" si="14"/>
        <v>0.3354050925925926</v>
      </c>
      <c r="E118" s="9">
        <f t="shared" si="15"/>
        <v>5.0011574074074076E-2</v>
      </c>
      <c r="F118" s="10">
        <f t="shared" si="16"/>
        <v>75</v>
      </c>
      <c r="G118" s="11">
        <f t="shared" si="17"/>
        <v>0.54653369681493502</v>
      </c>
    </row>
    <row r="119" spans="1:7" x14ac:dyDescent="0.25">
      <c r="A119" t="str">
        <f>Sheet1!A119</f>
        <v>Del_Sapna Sharma (1008629)</v>
      </c>
      <c r="B119" t="str">
        <f t="shared" si="13"/>
        <v>Sapna Sharma</v>
      </c>
      <c r="C119" s="8" t="s">
        <v>839</v>
      </c>
      <c r="D119" s="9">
        <f t="shared" si="14"/>
        <v>0.33627314814814818</v>
      </c>
      <c r="E119" s="9">
        <f t="shared" si="15"/>
        <v>6.4317129629629641E-2</v>
      </c>
      <c r="F119" s="10">
        <f t="shared" si="16"/>
        <v>76</v>
      </c>
      <c r="G119" s="11">
        <f t="shared" si="17"/>
        <v>0.53238796723342696</v>
      </c>
    </row>
    <row r="120" spans="1:7" x14ac:dyDescent="0.25">
      <c r="A120" t="str">
        <f>Sheet1!A120</f>
        <v>Del_Saroj Parita (1008630)</v>
      </c>
      <c r="B120" t="str">
        <f t="shared" si="13"/>
        <v>Saroj Parita</v>
      </c>
      <c r="C120" s="8" t="s">
        <v>841</v>
      </c>
      <c r="D120" s="9">
        <f t="shared" si="14"/>
        <v>0.33471064814814816</v>
      </c>
      <c r="E120" s="9">
        <f t="shared" si="15"/>
        <v>7.3344907407407414E-2</v>
      </c>
      <c r="F120" s="10">
        <f t="shared" si="16"/>
        <v>77</v>
      </c>
      <c r="G120" s="11">
        <f t="shared" si="17"/>
        <v>0.47020989660776702</v>
      </c>
    </row>
    <row r="121" spans="1:7" x14ac:dyDescent="0.25">
      <c r="A121" t="str">
        <f>Sheet1!A121</f>
        <v>Del_Shailaja Kamal (1008631)</v>
      </c>
      <c r="B121" t="str">
        <f t="shared" si="13"/>
        <v>Shailaja Kamal</v>
      </c>
      <c r="C121" s="8" t="s">
        <v>843</v>
      </c>
      <c r="D121" s="9">
        <f t="shared" si="14"/>
        <v>0.33974537037037034</v>
      </c>
      <c r="E121" s="9">
        <f t="shared" si="15"/>
        <v>4.7754629629629626E-2</v>
      </c>
      <c r="F121" s="10">
        <f t="shared" si="16"/>
        <v>78</v>
      </c>
      <c r="G121" s="11">
        <f t="shared" si="17"/>
        <v>0.54633099407235797</v>
      </c>
    </row>
    <row r="122" spans="1:7" x14ac:dyDescent="0.25">
      <c r="A122" t="str">
        <f>Sheet1!A122</f>
        <v>Del_Shailendra Barge (1008632)</v>
      </c>
      <c r="B122" t="str">
        <f t="shared" si="13"/>
        <v>Shailendra Barge</v>
      </c>
      <c r="C122" s="8" t="s">
        <v>845</v>
      </c>
      <c r="D122" s="9">
        <f t="shared" si="14"/>
        <v>0.34557870370370369</v>
      </c>
      <c r="E122" s="9">
        <f t="shared" si="15"/>
        <v>0.15493055555555554</v>
      </c>
      <c r="F122" s="10">
        <f t="shared" si="16"/>
        <v>79</v>
      </c>
      <c r="G122" s="11">
        <f t="shared" si="17"/>
        <v>0.38820416638756799</v>
      </c>
    </row>
    <row r="123" spans="1:7" x14ac:dyDescent="0.25">
      <c r="A123" t="str">
        <f>Sheet1!A123</f>
        <v>Del_Shankar Attendant (1008633)</v>
      </c>
      <c r="B123" t="str">
        <f t="shared" si="13"/>
        <v>Shankar Attendant</v>
      </c>
      <c r="C123" s="8" t="s">
        <v>847</v>
      </c>
      <c r="D123" s="9">
        <f t="shared" si="14"/>
        <v>0.33189814814814816</v>
      </c>
      <c r="E123" s="9">
        <f t="shared" si="15"/>
        <v>0.13547453703703705</v>
      </c>
      <c r="F123" s="10">
        <f t="shared" si="16"/>
        <v>80</v>
      </c>
      <c r="G123" s="11">
        <f t="shared" si="17"/>
        <v>0.40277584042404802</v>
      </c>
    </row>
    <row r="124" spans="1:7" x14ac:dyDescent="0.25">
      <c r="A124" t="str">
        <f>Sheet1!A124</f>
        <v>Del_Shashikant Tiwari (1008634)</v>
      </c>
      <c r="B124" t="str">
        <f t="shared" si="13"/>
        <v>Shashikant Tiwari</v>
      </c>
      <c r="C124" s="8" t="s">
        <v>849</v>
      </c>
      <c r="D124" s="9">
        <f t="shared" si="14"/>
        <v>0.34369212962962964</v>
      </c>
      <c r="E124" s="9">
        <f t="shared" si="15"/>
        <v>4.8599537037037038E-2</v>
      </c>
      <c r="F124" s="10">
        <f t="shared" si="16"/>
        <v>81</v>
      </c>
      <c r="G124" s="11">
        <f t="shared" si="17"/>
        <v>0.54352584610203702</v>
      </c>
    </row>
    <row r="125" spans="1:7" x14ac:dyDescent="0.25">
      <c r="A125" t="str">
        <f>Sheet1!A125</f>
        <v>Del_Sheeba Joseph (1008635)</v>
      </c>
      <c r="B125" t="str">
        <f t="shared" si="13"/>
        <v>Sheeba Joseph</v>
      </c>
      <c r="C125" s="8" t="s">
        <v>851</v>
      </c>
      <c r="D125" s="9">
        <f t="shared" si="14"/>
        <v>0.3548263888888889</v>
      </c>
      <c r="E125" s="9">
        <f t="shared" si="15"/>
        <v>3.8645833333333331E-2</v>
      </c>
      <c r="F125" s="10">
        <f t="shared" si="16"/>
        <v>82</v>
      </c>
      <c r="G125" s="11">
        <f t="shared" si="17"/>
        <v>0.28371986821932998</v>
      </c>
    </row>
    <row r="126" spans="1:7" x14ac:dyDescent="0.25">
      <c r="A126" t="str">
        <f>Sheet1!A126</f>
        <v>Del_Sheena Joseph (1008636)</v>
      </c>
      <c r="B126" t="str">
        <f t="shared" si="13"/>
        <v>Sheena Joseph</v>
      </c>
      <c r="C126" s="8" t="s">
        <v>853</v>
      </c>
      <c r="D126" s="9">
        <f t="shared" si="14"/>
        <v>0.36775462962962963</v>
      </c>
      <c r="E126" s="9">
        <f t="shared" si="15"/>
        <v>7.048611111111111E-2</v>
      </c>
      <c r="F126" s="10">
        <f t="shared" si="16"/>
        <v>83</v>
      </c>
      <c r="G126" s="11">
        <f t="shared" si="17"/>
        <v>0.56196890539434796</v>
      </c>
    </row>
    <row r="127" spans="1:7" x14ac:dyDescent="0.25">
      <c r="A127" t="str">
        <f>Sheet1!A127</f>
        <v>Del_Shephali Jain (1008637)</v>
      </c>
      <c r="B127" t="str">
        <f t="shared" si="13"/>
        <v>Shephali Jain</v>
      </c>
      <c r="C127" s="8" t="s">
        <v>855</v>
      </c>
      <c r="D127" s="9">
        <f t="shared" si="14"/>
        <v>0.35119212962962965</v>
      </c>
      <c r="E127" s="9">
        <f t="shared" si="15"/>
        <v>0.14153935185185185</v>
      </c>
      <c r="F127" s="10">
        <f t="shared" si="16"/>
        <v>84</v>
      </c>
      <c r="G127" s="11">
        <f t="shared" si="17"/>
        <v>0.40332201825791802</v>
      </c>
    </row>
    <row r="128" spans="1:7" x14ac:dyDescent="0.25">
      <c r="A128" t="str">
        <f>Sheet1!A128</f>
        <v>Del_Shivji Prasad (1008638)</v>
      </c>
      <c r="B128" t="str">
        <f t="shared" si="13"/>
        <v>Shivji Prasad</v>
      </c>
      <c r="C128" s="8" t="s">
        <v>857</v>
      </c>
      <c r="D128" s="9">
        <f t="shared" si="14"/>
        <v>0.34143518518518517</v>
      </c>
      <c r="E128" s="9">
        <f t="shared" si="15"/>
        <v>9.5694444444444457E-2</v>
      </c>
      <c r="F128" s="10">
        <f t="shared" si="16"/>
        <v>85</v>
      </c>
      <c r="G128" s="11">
        <f t="shared" si="17"/>
        <v>0.43796610169491501</v>
      </c>
    </row>
    <row r="129" spans="1:7" x14ac:dyDescent="0.25">
      <c r="A129" t="str">
        <f>Sheet1!A129</f>
        <v>Del_Shubhanjali Joshi (1008639)</v>
      </c>
      <c r="B129" t="str">
        <f t="shared" si="13"/>
        <v>Shubhanjali Joshi</v>
      </c>
      <c r="C129" s="8" t="s">
        <v>859</v>
      </c>
      <c r="D129" s="9">
        <f t="shared" si="14"/>
        <v>0.34533564814814816</v>
      </c>
      <c r="E129" s="9">
        <f t="shared" si="15"/>
        <v>5.5231481481481486E-2</v>
      </c>
      <c r="F129" s="10">
        <f t="shared" si="16"/>
        <v>86</v>
      </c>
      <c r="G129" s="11">
        <f t="shared" si="17"/>
        <v>0.55581995508931903</v>
      </c>
    </row>
    <row r="130" spans="1:7" x14ac:dyDescent="0.25">
      <c r="A130" t="str">
        <f>Sheet1!A130</f>
        <v>Del_Shyamal Malakar (1008640)</v>
      </c>
      <c r="B130" t="str">
        <f t="shared" si="13"/>
        <v>Shyamal Malakar</v>
      </c>
      <c r="C130" s="8" t="s">
        <v>614</v>
      </c>
      <c r="D130" s="9">
        <f t="shared" ref="D130:D150" si="18">TIMEVALUE(VLOOKUP(A130,she, 2,0))</f>
        <v>0.34416666666666668</v>
      </c>
      <c r="E130" s="9">
        <f t="shared" ref="E130:E150" si="19">TIMEVALUE(VLOOKUP(A130,sh,9,0))</f>
        <v>0.19140046296296295</v>
      </c>
      <c r="F130" s="10">
        <f t="shared" ref="F130:F150" si="20">VLOOKUP(A130, shee, 2,0)</f>
        <v>87</v>
      </c>
      <c r="G130" s="11">
        <f t="shared" ref="G130:G150" si="21">VLOOKUP(A130, she, 6, 0)</f>
        <v>0.326035781544256</v>
      </c>
    </row>
    <row r="131" spans="1:7" x14ac:dyDescent="0.25">
      <c r="A131" t="str">
        <f>Sheet1!A131</f>
        <v>Del_Sneh Khan (1008641)</v>
      </c>
      <c r="B131" t="str">
        <f t="shared" ref="B131:B150" si="22">MID(A131, FIND("_", A131, 1)+1,FIND("(",A131,1)- FIND("_", A131, 1)-2)</f>
        <v>Sneh Khan</v>
      </c>
      <c r="C131" s="8" t="s">
        <v>862</v>
      </c>
      <c r="D131" s="9">
        <f t="shared" si="18"/>
        <v>0.33975694444444443</v>
      </c>
      <c r="E131" s="9">
        <f t="shared" si="19"/>
        <v>4.8506944444444443E-2</v>
      </c>
      <c r="F131" s="10">
        <f t="shared" si="20"/>
        <v>88</v>
      </c>
      <c r="G131" s="11">
        <f t="shared" si="21"/>
        <v>0.57404190086867701</v>
      </c>
    </row>
    <row r="132" spans="1:7" x14ac:dyDescent="0.25">
      <c r="A132" t="str">
        <f>Sheet1!A132</f>
        <v>Del_Sonaram Munda (1008642)</v>
      </c>
      <c r="B132" t="str">
        <f t="shared" si="22"/>
        <v>Sonaram Munda</v>
      </c>
      <c r="C132" s="8" t="s">
        <v>864</v>
      </c>
      <c r="D132" s="9">
        <f t="shared" si="18"/>
        <v>0.33380787037037035</v>
      </c>
      <c r="E132" s="9">
        <f t="shared" si="19"/>
        <v>8.1423611111111113E-2</v>
      </c>
      <c r="F132" s="10">
        <f t="shared" si="20"/>
        <v>89</v>
      </c>
      <c r="G132" s="11">
        <f t="shared" si="21"/>
        <v>0.45359037481363301</v>
      </c>
    </row>
    <row r="133" spans="1:7" x14ac:dyDescent="0.25">
      <c r="A133" t="str">
        <f>Sheet1!A133</f>
        <v>Del_Sudama Kumar (1008643)</v>
      </c>
      <c r="B133" t="str">
        <f t="shared" si="22"/>
        <v>Sudama Kumar</v>
      </c>
      <c r="C133" s="8" t="s">
        <v>682</v>
      </c>
      <c r="D133" s="9">
        <f t="shared" si="18"/>
        <v>0.34012731481481479</v>
      </c>
      <c r="E133" s="9">
        <f t="shared" si="19"/>
        <v>0.19189814814814818</v>
      </c>
      <c r="F133" s="10">
        <f t="shared" si="20"/>
        <v>90</v>
      </c>
      <c r="G133" s="11">
        <f t="shared" si="21"/>
        <v>0.29689998979140397</v>
      </c>
    </row>
    <row r="134" spans="1:7" x14ac:dyDescent="0.25">
      <c r="A134" t="str">
        <f>Sheet1!A134</f>
        <v>Del_Sudhir Kumar (1008644)</v>
      </c>
      <c r="B134" t="str">
        <f t="shared" si="22"/>
        <v>Sudhir Kumar</v>
      </c>
      <c r="C134" s="8" t="s">
        <v>867</v>
      </c>
      <c r="D134" s="9">
        <f t="shared" si="18"/>
        <v>0.33354166666666668</v>
      </c>
      <c r="E134" s="9">
        <f t="shared" si="19"/>
        <v>5.1666666666666666E-2</v>
      </c>
      <c r="F134" s="10">
        <f t="shared" si="20"/>
        <v>91</v>
      </c>
      <c r="G134" s="11">
        <f t="shared" si="21"/>
        <v>0.55729058227496697</v>
      </c>
    </row>
    <row r="135" spans="1:7" x14ac:dyDescent="0.25">
      <c r="A135" t="str">
        <f>Sheet1!A135</f>
        <v>Del_Sunil Kumar (1008645)</v>
      </c>
      <c r="B135" t="str">
        <f t="shared" si="22"/>
        <v>Sunil Kumar</v>
      </c>
      <c r="C135" s="8" t="s">
        <v>869</v>
      </c>
      <c r="D135" s="9">
        <f t="shared" si="18"/>
        <v>0.3357175925925926</v>
      </c>
      <c r="E135" s="9">
        <f t="shared" si="19"/>
        <v>0.1645486111111111</v>
      </c>
      <c r="F135" s="10">
        <f t="shared" si="20"/>
        <v>92</v>
      </c>
      <c r="G135" s="11">
        <f t="shared" si="21"/>
        <v>0.33279321519685601</v>
      </c>
    </row>
    <row r="136" spans="1:7" x14ac:dyDescent="0.25">
      <c r="A136" t="str">
        <f>Sheet1!A136</f>
        <v>Del_Sunil Kumar (1008646)</v>
      </c>
      <c r="B136" t="str">
        <f t="shared" si="22"/>
        <v>Sunil Kumar</v>
      </c>
      <c r="C136" s="8" t="s">
        <v>871</v>
      </c>
      <c r="D136" s="9">
        <f t="shared" si="18"/>
        <v>0.33687500000000004</v>
      </c>
      <c r="E136" s="9">
        <f t="shared" si="19"/>
        <v>9.5034722222222215E-2</v>
      </c>
      <c r="F136" s="10">
        <f t="shared" si="20"/>
        <v>93</v>
      </c>
      <c r="G136" s="11">
        <f t="shared" si="21"/>
        <v>0.472308115165258</v>
      </c>
    </row>
    <row r="137" spans="1:7" x14ac:dyDescent="0.25">
      <c r="A137" t="str">
        <f>Sheet1!A137</f>
        <v>Del_Sunita Chawla (1008647)</v>
      </c>
      <c r="B137" t="str">
        <f t="shared" si="22"/>
        <v>Sunita Chawla</v>
      </c>
      <c r="C137" s="8" t="s">
        <v>873</v>
      </c>
      <c r="D137" s="9">
        <f t="shared" si="18"/>
        <v>0.33709490740740744</v>
      </c>
      <c r="E137" s="9">
        <f t="shared" si="19"/>
        <v>8.7997685185185193E-2</v>
      </c>
      <c r="F137" s="10">
        <f t="shared" si="20"/>
        <v>94</v>
      </c>
      <c r="G137" s="11">
        <f t="shared" si="21"/>
        <v>0.51110729613733896</v>
      </c>
    </row>
    <row r="138" spans="1:7" x14ac:dyDescent="0.25">
      <c r="A138" t="str">
        <f>Sheet1!A138</f>
        <v>Del_Sunita Madnani (1008648)</v>
      </c>
      <c r="B138" t="str">
        <f t="shared" si="22"/>
        <v>Sunita Madnani</v>
      </c>
      <c r="C138" s="8" t="s">
        <v>875</v>
      </c>
      <c r="D138" s="9">
        <f t="shared" si="18"/>
        <v>0.34307870370370369</v>
      </c>
      <c r="E138" s="9">
        <f t="shared" si="19"/>
        <v>4.7395833333333331E-2</v>
      </c>
      <c r="F138" s="10">
        <f t="shared" si="20"/>
        <v>95</v>
      </c>
      <c r="G138" s="11">
        <f t="shared" si="21"/>
        <v>0.58886040078267299</v>
      </c>
    </row>
    <row r="139" spans="1:7" x14ac:dyDescent="0.25">
      <c r="A139" t="str">
        <f>Sheet1!A139</f>
        <v>Del_Surendra Kumar (1008649)</v>
      </c>
      <c r="B139" t="str">
        <f t="shared" si="22"/>
        <v>Surendra Kumar</v>
      </c>
      <c r="C139" s="8" t="s">
        <v>877</v>
      </c>
      <c r="D139" s="9">
        <f t="shared" si="18"/>
        <v>0.31192129629629628</v>
      </c>
      <c r="E139" s="9">
        <f t="shared" si="19"/>
        <v>0.1575462962962963</v>
      </c>
      <c r="F139" s="10">
        <f t="shared" si="20"/>
        <v>96</v>
      </c>
      <c r="G139" s="11">
        <f t="shared" si="21"/>
        <v>0.34289424860853401</v>
      </c>
    </row>
    <row r="140" spans="1:7" x14ac:dyDescent="0.25">
      <c r="A140" t="str">
        <f>Sheet1!A140</f>
        <v>Del_Surendranath Thakur (1008650)</v>
      </c>
      <c r="B140" t="str">
        <f t="shared" si="22"/>
        <v>Surendranath Thakur</v>
      </c>
      <c r="C140" s="8" t="s">
        <v>879</v>
      </c>
      <c r="D140" s="9">
        <f t="shared" si="18"/>
        <v>0.35686342592592596</v>
      </c>
      <c r="E140" s="9">
        <f t="shared" si="19"/>
        <v>9.5196759259259259E-2</v>
      </c>
      <c r="F140" s="10">
        <f t="shared" si="20"/>
        <v>97</v>
      </c>
      <c r="G140" s="11">
        <f t="shared" si="21"/>
        <v>0.497486459313074</v>
      </c>
    </row>
    <row r="141" spans="1:7" x14ac:dyDescent="0.25">
      <c r="A141" t="str">
        <f>Sheet1!A141</f>
        <v>Del_Sushma Khandelwal (1008651)</v>
      </c>
      <c r="B141" t="str">
        <f t="shared" si="22"/>
        <v>Sushma Khandelwal</v>
      </c>
      <c r="C141" s="8" t="s">
        <v>881</v>
      </c>
      <c r="D141" s="9">
        <f t="shared" si="18"/>
        <v>0.34392361111111108</v>
      </c>
      <c r="E141" s="9">
        <f t="shared" si="19"/>
        <v>4.8854166666666664E-2</v>
      </c>
      <c r="F141" s="10">
        <f t="shared" si="20"/>
        <v>98</v>
      </c>
      <c r="G141" s="11">
        <f t="shared" si="21"/>
        <v>0.52431431936732298</v>
      </c>
    </row>
    <row r="142" spans="1:7" x14ac:dyDescent="0.25">
      <c r="A142" t="str">
        <f>Sheet1!A142</f>
        <v>Del_Swarnlata Borse (1008652)</v>
      </c>
      <c r="B142" t="str">
        <f t="shared" si="22"/>
        <v>Swarnlata Borse</v>
      </c>
      <c r="C142" s="8" t="s">
        <v>883</v>
      </c>
      <c r="D142" s="9">
        <f t="shared" si="18"/>
        <v>0.34658564814814818</v>
      </c>
      <c r="E142" s="9">
        <f t="shared" si="19"/>
        <v>0.18931712962962963</v>
      </c>
      <c r="F142" s="10">
        <f t="shared" si="20"/>
        <v>99</v>
      </c>
      <c r="G142" s="11">
        <f t="shared" si="21"/>
        <v>0.31066956086157999</v>
      </c>
    </row>
    <row r="143" spans="1:7" x14ac:dyDescent="0.25">
      <c r="A143" t="str">
        <f>Sheet1!A143</f>
        <v>Del_Syed Naved (1008653)</v>
      </c>
      <c r="B143" t="str">
        <f t="shared" si="22"/>
        <v>Syed Naved</v>
      </c>
      <c r="C143" s="8" t="s">
        <v>885</v>
      </c>
      <c r="D143" s="9">
        <f t="shared" si="18"/>
        <v>0.34281249999999996</v>
      </c>
      <c r="E143" s="9">
        <f t="shared" si="19"/>
        <v>5.1898148148148145E-2</v>
      </c>
      <c r="F143" s="10">
        <f t="shared" si="20"/>
        <v>100</v>
      </c>
      <c r="G143" s="11">
        <f t="shared" si="21"/>
        <v>0.58462473412336702</v>
      </c>
    </row>
    <row r="144" spans="1:7" x14ac:dyDescent="0.25">
      <c r="A144" t="str">
        <f>Sheet1!A144</f>
        <v>Del_Syed Saqib (1008654)</v>
      </c>
      <c r="B144" t="str">
        <f t="shared" si="22"/>
        <v>Syed Saqib</v>
      </c>
      <c r="C144" s="8" t="s">
        <v>887</v>
      </c>
      <c r="D144" s="9">
        <f t="shared" si="18"/>
        <v>0.35055555555555556</v>
      </c>
      <c r="E144" s="9">
        <f t="shared" si="19"/>
        <v>0.21081018518518521</v>
      </c>
      <c r="F144" s="10">
        <f t="shared" si="20"/>
        <v>101</v>
      </c>
      <c r="G144" s="11">
        <f t="shared" si="21"/>
        <v>0.31685816164817698</v>
      </c>
    </row>
    <row r="145" spans="1:7" x14ac:dyDescent="0.25">
      <c r="A145" t="str">
        <f>Sheet1!A145</f>
        <v>Del_Syed Sohail (1008655)</v>
      </c>
      <c r="B145" t="str">
        <f t="shared" si="22"/>
        <v>Syed Sohail</v>
      </c>
      <c r="C145" s="8" t="s">
        <v>889</v>
      </c>
      <c r="D145" s="9">
        <f t="shared" si="18"/>
        <v>0.34575231481481478</v>
      </c>
      <c r="E145" s="9">
        <f t="shared" si="19"/>
        <v>5.004629629629629E-2</v>
      </c>
      <c r="F145" s="10">
        <f t="shared" si="20"/>
        <v>102</v>
      </c>
      <c r="G145" s="11">
        <f t="shared" si="21"/>
        <v>0.56375322197301903</v>
      </c>
    </row>
    <row r="146" spans="1:7" x14ac:dyDescent="0.25">
      <c r="A146" t="str">
        <f>Sheet1!A146</f>
        <v>Del_System Operator (1008656)</v>
      </c>
      <c r="B146" t="str">
        <f t="shared" si="22"/>
        <v>System Operator</v>
      </c>
      <c r="C146" s="8" t="s">
        <v>891</v>
      </c>
      <c r="D146" s="9">
        <f t="shared" si="18"/>
        <v>0.35479166666666667</v>
      </c>
      <c r="E146" s="9">
        <f t="shared" si="19"/>
        <v>3.8946759259259257E-2</v>
      </c>
      <c r="F146" s="10">
        <f t="shared" si="20"/>
        <v>103</v>
      </c>
      <c r="G146" s="11">
        <f t="shared" si="21"/>
        <v>0.54779147908918902</v>
      </c>
    </row>
    <row r="147" spans="1:7" x14ac:dyDescent="0.25">
      <c r="A147" t="str">
        <f>Sheet1!A147</f>
        <v>Del_Tahira Qureshi (1008657)</v>
      </c>
      <c r="B147" t="str">
        <f t="shared" si="22"/>
        <v>Tahira Qureshi</v>
      </c>
      <c r="C147" s="8" t="s">
        <v>893</v>
      </c>
      <c r="D147" s="9">
        <f t="shared" si="18"/>
        <v>0.36542824074074076</v>
      </c>
      <c r="E147" s="9">
        <f t="shared" si="19"/>
        <v>0.16840277777777779</v>
      </c>
      <c r="F147" s="10">
        <f t="shared" si="20"/>
        <v>104</v>
      </c>
      <c r="G147" s="11">
        <f t="shared" si="21"/>
        <v>0.37965983593576802</v>
      </c>
    </row>
    <row r="148" spans="1:7" x14ac:dyDescent="0.25">
      <c r="A148" t="str">
        <f>Sheet1!A148</f>
        <v>Del_Tapas Chakraborty (1008658)</v>
      </c>
      <c r="B148" t="str">
        <f t="shared" si="22"/>
        <v>Tapas Chakraborty</v>
      </c>
      <c r="C148" s="8" t="s">
        <v>895</v>
      </c>
      <c r="D148" s="9">
        <f t="shared" si="18"/>
        <v>0.34370370370370368</v>
      </c>
      <c r="E148" s="9">
        <f t="shared" si="19"/>
        <v>5.0127314814814812E-2</v>
      </c>
      <c r="F148" s="10">
        <f t="shared" si="20"/>
        <v>105</v>
      </c>
      <c r="G148" s="11">
        <f t="shared" si="21"/>
        <v>0.56529498922413801</v>
      </c>
    </row>
    <row r="149" spans="1:7" x14ac:dyDescent="0.25">
      <c r="A149" t="str">
        <f>Sheet1!A149</f>
        <v>Del_Tariq Akhlaq (1008659)</v>
      </c>
      <c r="B149" t="str">
        <f t="shared" si="22"/>
        <v>Tariq Akhlaq</v>
      </c>
      <c r="C149" s="8" t="s">
        <v>897</v>
      </c>
      <c r="D149" s="9">
        <f t="shared" si="18"/>
        <v>0.20827546296296295</v>
      </c>
      <c r="E149" s="9">
        <f t="shared" si="19"/>
        <v>1.045138888888889E-2</v>
      </c>
      <c r="F149" s="10">
        <f t="shared" si="20"/>
        <v>106</v>
      </c>
      <c r="G149" s="11">
        <f t="shared" si="21"/>
        <v>0.60261183662128404</v>
      </c>
    </row>
    <row r="150" spans="1:7" x14ac:dyDescent="0.25">
      <c r="A150" t="str">
        <f>Sheet1!A150</f>
        <v>Del_Tasneem Khan (1008660)</v>
      </c>
      <c r="B150" t="str">
        <f t="shared" si="22"/>
        <v>Tasneem Khan</v>
      </c>
      <c r="C150" s="8" t="s">
        <v>899</v>
      </c>
      <c r="D150" s="9">
        <f t="shared" si="18"/>
        <v>0.35688657407407409</v>
      </c>
      <c r="E150" s="9">
        <f t="shared" si="19"/>
        <v>9.5034722222222215E-2</v>
      </c>
      <c r="F150" s="10">
        <f t="shared" si="20"/>
        <v>107</v>
      </c>
      <c r="G150" s="11">
        <f t="shared" si="21"/>
        <v>0.49813523593319298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601-0CF9-4469-A759-C435CF3296E7}">
  <sheetPr codeName="Sheet5"/>
  <dimension ref="A1:N10"/>
  <sheetViews>
    <sheetView showGridLines="0" showRowColHeaders="0" tabSelected="1" workbookViewId="0">
      <selection activeCell="G7" sqref="G7"/>
    </sheetView>
  </sheetViews>
  <sheetFormatPr defaultRowHeight="15" x14ac:dyDescent="0.25"/>
  <cols>
    <col min="1" max="1" width="27.28515625" customWidth="1"/>
    <col min="2" max="2" width="26" customWidth="1"/>
    <col min="3" max="3" width="12.140625" customWidth="1"/>
    <col min="4" max="4" width="27.5703125" customWidth="1"/>
    <col min="5" max="5" width="27.140625" bestFit="1" customWidth="1"/>
    <col min="6" max="6" width="10.28515625" customWidth="1"/>
    <col min="7" max="7" width="28" customWidth="1"/>
    <col min="8" max="8" width="26.28515625" customWidth="1"/>
  </cols>
  <sheetData>
    <row r="1" spans="1:14" ht="39" customHeight="1" x14ac:dyDescent="0.25">
      <c r="A1" s="13"/>
      <c r="B1" s="13"/>
      <c r="C1" s="14"/>
      <c r="D1" s="14">
        <v>5</v>
      </c>
      <c r="E1" s="13"/>
      <c r="F1" s="13"/>
      <c r="G1" s="14">
        <v>5</v>
      </c>
      <c r="H1" s="13"/>
      <c r="I1" s="13"/>
      <c r="J1" s="13"/>
      <c r="K1" s="13"/>
      <c r="L1" s="13"/>
      <c r="M1" s="13">
        <v>7</v>
      </c>
      <c r="N1" s="13"/>
    </row>
    <row r="2" spans="1:14" ht="30.75" customHeight="1" x14ac:dyDescent="0.25">
      <c r="A2" s="17" t="s">
        <v>1012</v>
      </c>
      <c r="B2" s="18"/>
      <c r="D2" s="17" t="s">
        <v>1016</v>
      </c>
      <c r="E2" s="18"/>
      <c r="G2" s="17" t="s">
        <v>1018</v>
      </c>
      <c r="H2" s="18"/>
    </row>
    <row r="3" spans="1:14" ht="21" customHeight="1" x14ac:dyDescent="0.25">
      <c r="A3" s="15" t="s">
        <v>1005</v>
      </c>
      <c r="B3" s="16" t="s">
        <v>1011</v>
      </c>
      <c r="D3" s="15" t="s">
        <v>1005</v>
      </c>
      <c r="E3" s="16" t="s">
        <v>1015</v>
      </c>
      <c r="G3" s="15" t="s">
        <v>1005</v>
      </c>
      <c r="H3" s="16" t="s">
        <v>1017</v>
      </c>
    </row>
    <row r="4" spans="1:14" ht="18" customHeight="1" x14ac:dyDescent="0.25">
      <c r="A4" s="12" t="s">
        <v>1006</v>
      </c>
      <c r="B4" s="9">
        <v>1.3668402777777777</v>
      </c>
      <c r="D4" s="12" t="s">
        <v>1006</v>
      </c>
      <c r="E4" s="11">
        <v>2.0905948641136138</v>
      </c>
      <c r="G4" s="12" t="s">
        <v>1006</v>
      </c>
      <c r="H4" s="10">
        <v>322</v>
      </c>
    </row>
    <row r="5" spans="1:14" x14ac:dyDescent="0.25">
      <c r="A5" s="12" t="s">
        <v>1007</v>
      </c>
      <c r="B5" s="9">
        <v>0.66396990740740736</v>
      </c>
      <c r="D5" s="12" t="s">
        <v>1007</v>
      </c>
      <c r="E5" s="11">
        <v>1.064298009533315</v>
      </c>
      <c r="G5" s="12" t="s">
        <v>1009</v>
      </c>
      <c r="H5" s="10">
        <v>222</v>
      </c>
    </row>
    <row r="6" spans="1:14" x14ac:dyDescent="0.25">
      <c r="A6" s="12" t="s">
        <v>1008</v>
      </c>
      <c r="B6" s="9">
        <v>0.67937500000000006</v>
      </c>
      <c r="D6" s="12" t="s">
        <v>1008</v>
      </c>
      <c r="E6" s="11">
        <v>1.122824596941316</v>
      </c>
      <c r="G6" s="12" t="s">
        <v>1010</v>
      </c>
      <c r="H6" s="10">
        <v>185</v>
      </c>
    </row>
    <row r="7" spans="1:14" x14ac:dyDescent="0.25">
      <c r="A7" s="12" t="s">
        <v>1009</v>
      </c>
      <c r="B7" s="9">
        <v>1.0142939814814815</v>
      </c>
      <c r="D7" s="12" t="s">
        <v>1009</v>
      </c>
      <c r="E7" s="11">
        <v>1.7236731368386569</v>
      </c>
      <c r="G7" s="12" t="s">
        <v>1019</v>
      </c>
      <c r="H7" s="10">
        <v>104</v>
      </c>
    </row>
    <row r="8" spans="1:14" x14ac:dyDescent="0.25">
      <c r="A8" s="12" t="s">
        <v>1010</v>
      </c>
      <c r="B8" s="9">
        <v>0.67259259259259263</v>
      </c>
      <c r="D8" s="12" t="s">
        <v>1010</v>
      </c>
      <c r="E8" s="11">
        <v>0.80510133036211395</v>
      </c>
      <c r="G8" s="12" t="s">
        <v>1020</v>
      </c>
      <c r="H8" s="10">
        <v>105</v>
      </c>
    </row>
    <row r="9" spans="1:14" x14ac:dyDescent="0.25">
      <c r="G9" s="12" t="s">
        <v>1013</v>
      </c>
      <c r="H9" s="10">
        <v>106</v>
      </c>
    </row>
    <row r="10" spans="1:14" x14ac:dyDescent="0.25">
      <c r="G10" s="12" t="s">
        <v>1014</v>
      </c>
      <c r="H10" s="10">
        <v>107</v>
      </c>
    </row>
  </sheetData>
  <mergeCells count="3">
    <mergeCell ref="A2:B2"/>
    <mergeCell ref="D2:E2"/>
    <mergeCell ref="G2:H2"/>
  </mergeCell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croll Bar 1">
              <controlPr defaultSize="0" autoPict="0" macro="[0]!Scroll_bar1">
                <anchor moveWithCells="1">
                  <from>
                    <xdr:col>1</xdr:col>
                    <xdr:colOff>104775</xdr:colOff>
                    <xdr:row>0</xdr:row>
                    <xdr:rowOff>66675</xdr:rowOff>
                  </from>
                  <to>
                    <xdr:col>1</xdr:col>
                    <xdr:colOff>304800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Scroll Bar 2">
              <controlPr defaultSize="0" autoPict="0" macro="[0]!Scroll_bar2">
                <anchor moveWithCells="1">
                  <from>
                    <xdr:col>4</xdr:col>
                    <xdr:colOff>104775</xdr:colOff>
                    <xdr:row>0</xdr:row>
                    <xdr:rowOff>66675</xdr:rowOff>
                  </from>
                  <to>
                    <xdr:col>4</xdr:col>
                    <xdr:colOff>304800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Scroll Bar 4">
              <controlPr defaultSize="0" autoPict="0" macro="[0]!Scroll_bar3">
                <anchor moveWithCells="1">
                  <from>
                    <xdr:col>7</xdr:col>
                    <xdr:colOff>104775</xdr:colOff>
                    <xdr:row>0</xdr:row>
                    <xdr:rowOff>66675</xdr:rowOff>
                  </from>
                  <to>
                    <xdr:col>7</xdr:col>
                    <xdr:colOff>304800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993A1-D503-411B-B90F-AF8C8E2917C0}">
  <sheetPr codeName="Sheet2"/>
  <dimension ref="A1:Q150"/>
  <sheetViews>
    <sheetView workbookViewId="0">
      <selection activeCell="F2" sqref="F2"/>
    </sheetView>
  </sheetViews>
  <sheetFormatPr defaultRowHeight="15" x14ac:dyDescent="0.25"/>
  <cols>
    <col min="1" max="1" width="31.7109375" bestFit="1" customWidth="1"/>
    <col min="2" max="2" width="28.85546875" customWidth="1"/>
    <col min="3" max="3" width="12.5703125" customWidth="1"/>
    <col min="4" max="4" width="14.5703125" customWidth="1"/>
    <col min="5" max="5" width="13" customWidth="1"/>
    <col min="6" max="6" width="23.5703125" customWidth="1"/>
    <col min="7" max="7" width="12.140625" customWidth="1"/>
  </cols>
  <sheetData>
    <row r="1" spans="1:17" ht="51" x14ac:dyDescent="0.25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25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25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25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25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25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25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25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25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25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25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25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25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25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25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25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25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25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25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25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25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25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25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25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25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25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25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25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25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25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25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25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25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25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25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25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25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25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25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25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25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25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25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25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25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25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25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25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25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25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25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25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25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25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25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25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25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25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25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25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25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25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25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25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25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25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25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25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25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25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25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25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25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25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25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25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25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25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25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25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25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25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25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25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25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25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25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25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25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25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25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25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25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25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25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25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25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25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25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25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25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25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25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25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25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25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25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25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25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25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25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25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25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25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25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25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25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25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25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25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25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25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25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25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25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25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25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25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25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25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25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25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25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25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25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25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25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25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25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25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25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25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25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25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25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25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25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25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25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25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DD73C-E946-44B7-B47B-E094F158FA0A}">
  <sheetPr codeName="Sheet3"/>
  <dimension ref="A1:J150"/>
  <sheetViews>
    <sheetView workbookViewId="0">
      <selection activeCell="B2" sqref="B2"/>
    </sheetView>
  </sheetViews>
  <sheetFormatPr defaultRowHeight="15" x14ac:dyDescent="0.25"/>
  <cols>
    <col min="1" max="1" width="31.7109375" bestFit="1" customWidth="1"/>
    <col min="2" max="2" width="17.7109375" customWidth="1"/>
    <col min="3" max="3" width="13.140625" customWidth="1"/>
    <col min="4" max="4" width="15.5703125" customWidth="1"/>
    <col min="5" max="5" width="14.42578125" customWidth="1"/>
    <col min="6" max="6" width="13.42578125" customWidth="1"/>
    <col min="7" max="7" width="13.7109375" customWidth="1"/>
    <col min="8" max="8" width="11.28515625" customWidth="1"/>
    <col min="9" max="9" width="13.85546875" customWidth="1"/>
    <col min="10" max="10" width="15.42578125" customWidth="1"/>
  </cols>
  <sheetData>
    <row r="1" spans="1:10" ht="51" x14ac:dyDescent="0.2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25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25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25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25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25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25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25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25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25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25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25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25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25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25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25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25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25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25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25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25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25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25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25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25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25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25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25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25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25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25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25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25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25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25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25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25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25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25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25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25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25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25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25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25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25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25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25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25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25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25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25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25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25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25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25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25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25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25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25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25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25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25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25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25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25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25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25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25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25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25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25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25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25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25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25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25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25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25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25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25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25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25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25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25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25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25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25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25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25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25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25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25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25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25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25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25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25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25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25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25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25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25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25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25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25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25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25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25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25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25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25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25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25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25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25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25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25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25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25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25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25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25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25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25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25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25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25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25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25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25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25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25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25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25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25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25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25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25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25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25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25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25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25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25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25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25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25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25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25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Summary</vt:lpstr>
      <vt:lpstr>Report</vt:lpstr>
      <vt:lpstr>Sheet2</vt:lpstr>
      <vt:lpstr>Sheet3</vt:lpstr>
      <vt:lpstr>sh</vt:lpstr>
      <vt:lpstr>she</vt:lpstr>
      <vt:lpstr>shee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Anshika</dc:creator>
  <cp:lastModifiedBy>Anshika</cp:lastModifiedBy>
  <dcterms:created xsi:type="dcterms:W3CDTF">2025-07-24T20:35:20Z</dcterms:created>
  <dcterms:modified xsi:type="dcterms:W3CDTF">2025-07-26T14:53:47Z</dcterms:modified>
</cp:coreProperties>
</file>